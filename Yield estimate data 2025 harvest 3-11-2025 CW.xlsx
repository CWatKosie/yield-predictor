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1164140734ca6cb/Documents/"/>
    </mc:Choice>
  </mc:AlternateContent>
  <xr:revisionPtr revIDLastSave="26" documentId="8_{9312589E-685A-42E6-AE0B-CCE72B586042}" xr6:coauthVersionLast="47" xr6:coauthVersionMax="47" xr10:uidLastSave="{869DC210-74C5-47D3-8162-758746986305}"/>
  <bookViews>
    <workbookView xWindow="28680" yWindow="-3885" windowWidth="29040" windowHeight="15720" activeTab="2" xr2:uid="{D14E63AF-83C3-4FB6-86E5-A3E04378BA69}"/>
  </bookViews>
  <sheets>
    <sheet name="RawData" sheetId="1" r:id="rId1"/>
    <sheet name="CleanData" sheetId="2" r:id="rId2"/>
    <sheet name="Model" sheetId="3" r:id="rId3"/>
    <sheet name="Inpu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2" l="1"/>
  <c r="T2" i="2"/>
  <c r="S2" i="2"/>
  <c r="R2" i="2"/>
  <c r="Q2" i="2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<sst xmlns="http://schemas.openxmlformats.org/spreadsheetml/2006/main" count="715" uniqueCount="226">
  <si>
    <t>Farm name</t>
  </si>
  <si>
    <t>Date</t>
  </si>
  <si>
    <t>Cultivar</t>
  </si>
  <si>
    <t>Tree number</t>
  </si>
  <si>
    <t>Shoot count</t>
  </si>
  <si>
    <t>Nut count</t>
  </si>
  <si>
    <t xml:space="preserve">Nut yield </t>
  </si>
  <si>
    <t>Row width</t>
  </si>
  <si>
    <t>In-row spacing</t>
  </si>
  <si>
    <t>Tree hight</t>
  </si>
  <si>
    <t>Tree width</t>
  </si>
  <si>
    <t>Hegde row</t>
  </si>
  <si>
    <t>Sphere</t>
  </si>
  <si>
    <t>Cone</t>
  </si>
  <si>
    <t>Cube</t>
  </si>
  <si>
    <t xml:space="preserve">Jannie Smit </t>
  </si>
  <si>
    <t>6/3/2025</t>
  </si>
  <si>
    <t>Wichita(Young)</t>
  </si>
  <si>
    <t>1 Y</t>
  </si>
  <si>
    <t>5.50</t>
  </si>
  <si>
    <t>2.25</t>
  </si>
  <si>
    <t>~</t>
  </si>
  <si>
    <t>2Y</t>
  </si>
  <si>
    <t>2.65</t>
  </si>
  <si>
    <t>3Y</t>
  </si>
  <si>
    <t>7.00</t>
  </si>
  <si>
    <t>2.7</t>
  </si>
  <si>
    <t>4Y</t>
  </si>
  <si>
    <t>6.00</t>
  </si>
  <si>
    <t>2.55</t>
  </si>
  <si>
    <t>5Y</t>
  </si>
  <si>
    <t>7.75</t>
  </si>
  <si>
    <t>3.0</t>
  </si>
  <si>
    <t>6Y</t>
  </si>
  <si>
    <t>3.40</t>
  </si>
  <si>
    <t>2.2</t>
  </si>
  <si>
    <t>7Y</t>
  </si>
  <si>
    <t>9.90</t>
  </si>
  <si>
    <t>2.9</t>
  </si>
  <si>
    <t>8Y</t>
  </si>
  <si>
    <t>6.25</t>
  </si>
  <si>
    <t>9Y</t>
  </si>
  <si>
    <t>3.70</t>
  </si>
  <si>
    <t>1.85</t>
  </si>
  <si>
    <t>10Y</t>
  </si>
  <si>
    <t>5.45</t>
  </si>
  <si>
    <t>Wichita(Old)</t>
  </si>
  <si>
    <t>1WO</t>
  </si>
  <si>
    <t>16.30</t>
  </si>
  <si>
    <t>3.62</t>
  </si>
  <si>
    <t>2 WO</t>
  </si>
  <si>
    <t>23.00</t>
  </si>
  <si>
    <t>2.82</t>
  </si>
  <si>
    <t>3WO</t>
  </si>
  <si>
    <t>32.25</t>
  </si>
  <si>
    <t>3.52</t>
  </si>
  <si>
    <t>4WO</t>
  </si>
  <si>
    <t>34.90</t>
  </si>
  <si>
    <t>5WO</t>
  </si>
  <si>
    <t>37.15</t>
  </si>
  <si>
    <t>3.92</t>
  </si>
  <si>
    <t>6WO</t>
  </si>
  <si>
    <t>33.55</t>
  </si>
  <si>
    <t>4.05</t>
  </si>
  <si>
    <t>7WO</t>
  </si>
  <si>
    <t>31.35</t>
  </si>
  <si>
    <t>3.32</t>
  </si>
  <si>
    <t>8WO</t>
  </si>
  <si>
    <t>32.1</t>
  </si>
  <si>
    <t>3.42</t>
  </si>
  <si>
    <t>9WO</t>
  </si>
  <si>
    <t>39.90</t>
  </si>
  <si>
    <t>3.67</t>
  </si>
  <si>
    <t>10 WO</t>
  </si>
  <si>
    <t>26.05</t>
  </si>
  <si>
    <t>2.92</t>
  </si>
  <si>
    <t>Choctaw(Old)</t>
  </si>
  <si>
    <t>1OC</t>
  </si>
  <si>
    <t>32.10</t>
  </si>
  <si>
    <t>3.77</t>
  </si>
  <si>
    <t>2OC</t>
  </si>
  <si>
    <t>34.40</t>
  </si>
  <si>
    <t>3.35</t>
  </si>
  <si>
    <t>3OC</t>
  </si>
  <si>
    <t>15.65</t>
  </si>
  <si>
    <t>3.37</t>
  </si>
  <si>
    <t>4OC</t>
  </si>
  <si>
    <t>26.35</t>
  </si>
  <si>
    <t>2.95</t>
  </si>
  <si>
    <t>5OC</t>
  </si>
  <si>
    <t>24.45</t>
  </si>
  <si>
    <t>3.57</t>
  </si>
  <si>
    <t>6OC</t>
  </si>
  <si>
    <t>41.35</t>
  </si>
  <si>
    <t>7OC</t>
  </si>
  <si>
    <t>37.95</t>
  </si>
  <si>
    <t>8OC</t>
  </si>
  <si>
    <t>26.50</t>
  </si>
  <si>
    <t>9OC</t>
  </si>
  <si>
    <t>37.20</t>
  </si>
  <si>
    <t>3.20</t>
  </si>
  <si>
    <t>10OC</t>
  </si>
  <si>
    <t>27.15</t>
  </si>
  <si>
    <t>3.65</t>
  </si>
  <si>
    <t>Wimpie Du Toit</t>
  </si>
  <si>
    <t>11/3/2025</t>
  </si>
  <si>
    <t xml:space="preserve">Wichita </t>
  </si>
  <si>
    <t>49.85</t>
  </si>
  <si>
    <t>9.5</t>
  </si>
  <si>
    <t>31.2</t>
  </si>
  <si>
    <t>3.6</t>
  </si>
  <si>
    <t>38.4</t>
  </si>
  <si>
    <t>4.42</t>
  </si>
  <si>
    <t>34.4</t>
  </si>
  <si>
    <t>3.45</t>
  </si>
  <si>
    <t>37.3</t>
  </si>
  <si>
    <t>3.25</t>
  </si>
  <si>
    <t>39.75</t>
  </si>
  <si>
    <t>42.1</t>
  </si>
  <si>
    <t>3.82</t>
  </si>
  <si>
    <t>33.45</t>
  </si>
  <si>
    <t>3.72</t>
  </si>
  <si>
    <t>34.35</t>
  </si>
  <si>
    <t>4.07</t>
  </si>
  <si>
    <t>42.7</t>
  </si>
  <si>
    <t>4.1</t>
  </si>
  <si>
    <t>49.7</t>
  </si>
  <si>
    <t>49.95</t>
  </si>
  <si>
    <t>3.95</t>
  </si>
  <si>
    <t>32.95</t>
  </si>
  <si>
    <t>4.4</t>
  </si>
  <si>
    <t>30.05</t>
  </si>
  <si>
    <t>35.75</t>
  </si>
  <si>
    <t>3.7</t>
  </si>
  <si>
    <t>37.35</t>
  </si>
  <si>
    <t>3.9</t>
  </si>
  <si>
    <t>39.05</t>
  </si>
  <si>
    <t>3.22</t>
  </si>
  <si>
    <t>30.15</t>
  </si>
  <si>
    <t>4.02</t>
  </si>
  <si>
    <t>32.05</t>
  </si>
  <si>
    <t>3.15</t>
  </si>
  <si>
    <t>39.55</t>
  </si>
  <si>
    <t>3.55</t>
  </si>
  <si>
    <t>16.75</t>
  </si>
  <si>
    <t>3.4</t>
  </si>
  <si>
    <t>31.8</t>
  </si>
  <si>
    <t>3.00</t>
  </si>
  <si>
    <t>20.25</t>
  </si>
  <si>
    <t>3.8</t>
  </si>
  <si>
    <t>38.95</t>
  </si>
  <si>
    <t>31.9</t>
  </si>
  <si>
    <t>25.2</t>
  </si>
  <si>
    <t>3.5</t>
  </si>
  <si>
    <t>13.6</t>
  </si>
  <si>
    <t>3.2</t>
  </si>
  <si>
    <t>23.35</t>
  </si>
  <si>
    <t>3.85</t>
  </si>
  <si>
    <t>38.55</t>
  </si>
  <si>
    <t>30.45</t>
  </si>
  <si>
    <t>28.75</t>
  </si>
  <si>
    <t>4.0</t>
  </si>
  <si>
    <t>32.65</t>
  </si>
  <si>
    <t>34.75</t>
  </si>
  <si>
    <t>22.75</t>
  </si>
  <si>
    <t>34.8</t>
  </si>
  <si>
    <t>29.3</t>
  </si>
  <si>
    <t>26.55</t>
  </si>
  <si>
    <t>3.27</t>
  </si>
  <si>
    <t>31.3</t>
  </si>
  <si>
    <t>21.5</t>
  </si>
  <si>
    <t>2.5</t>
  </si>
  <si>
    <t>21.45</t>
  </si>
  <si>
    <t>4.5</t>
  </si>
  <si>
    <t>23.5</t>
  </si>
  <si>
    <t>28.5</t>
  </si>
  <si>
    <t>3.05</t>
  </si>
  <si>
    <t>28.45</t>
  </si>
  <si>
    <t>3.3</t>
  </si>
  <si>
    <t>35.4</t>
  </si>
  <si>
    <t xml:space="preserve">Dries Devenhage </t>
  </si>
  <si>
    <t>20/3/2025</t>
  </si>
  <si>
    <t>Western Schely</t>
  </si>
  <si>
    <t>22.50</t>
  </si>
  <si>
    <t>42.85</t>
  </si>
  <si>
    <t>24.70</t>
  </si>
  <si>
    <t>31.90</t>
  </si>
  <si>
    <t>2.85</t>
  </si>
  <si>
    <t>27.30</t>
  </si>
  <si>
    <t>3.47</t>
  </si>
  <si>
    <t>22.90</t>
  </si>
  <si>
    <t xml:space="preserve">26.45 </t>
  </si>
  <si>
    <t>25.70</t>
  </si>
  <si>
    <t>29.00</t>
  </si>
  <si>
    <t>24.10</t>
  </si>
  <si>
    <t>3.23</t>
  </si>
  <si>
    <t>Wichita</t>
  </si>
  <si>
    <t>49.35</t>
  </si>
  <si>
    <t>4.12</t>
  </si>
  <si>
    <t>29.90</t>
  </si>
  <si>
    <t>24.90</t>
  </si>
  <si>
    <t>26.30</t>
  </si>
  <si>
    <t>42.95</t>
  </si>
  <si>
    <t>35.05</t>
  </si>
  <si>
    <t>16.80</t>
  </si>
  <si>
    <t>22.8</t>
  </si>
  <si>
    <t>FarmName</t>
  </si>
  <si>
    <t>CultivarRaw</t>
  </si>
  <si>
    <t>CultivarClean</t>
  </si>
  <si>
    <t>TreeNumber</t>
  </si>
  <si>
    <t>ShootCount</t>
  </si>
  <si>
    <t>NutCount</t>
  </si>
  <si>
    <t>NutYieldKgTree</t>
  </si>
  <si>
    <t>RowWidth_m</t>
  </si>
  <si>
    <t>InRowSpacing_m</t>
  </si>
  <si>
    <t>TreeHeight_m</t>
  </si>
  <si>
    <t>TreeDepth_m</t>
  </si>
  <si>
    <t>HedgeFlag</t>
  </si>
  <si>
    <t>SphereFlag</t>
  </si>
  <si>
    <t>ConeFlag</t>
  </si>
  <si>
    <t>CubeFlag</t>
  </si>
  <si>
    <t>VolumeType</t>
  </si>
  <si>
    <t>TreesPerHa</t>
  </si>
  <si>
    <t>NutsPerShoot</t>
  </si>
  <si>
    <t>VolumeAdj</t>
  </si>
  <si>
    <t>IsValid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</si>
</sst>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9" fontId="2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4" fillId="0" borderId="0" xfId="0" applyFont="1"/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588153-575E-44A3-B39E-57EEA9B16BDB}" name="Table1" displayName="Table1" ref="A1:U2" totalsRowShown="0" headerRowDxfId="0">
  <autoFilter ref="A1:U2" xr:uid="{DA588153-575E-44A3-B39E-57EEA9B16BDB}"/>
  <tableColumns count="21">
    <tableColumn id="1" xr3:uid="{301CB907-8E19-4012-BFF9-3251F4C202E6}" name="FarmName"/>
    <tableColumn id="2" xr3:uid="{AA8D0083-3406-4692-B2E3-5A8BDA671F09}" name="Date"/>
    <tableColumn id="3" xr3:uid="{0593D4D3-BED0-4617-BAA1-80C8244343A6}" name="CultivarRaw"/>
    <tableColumn id="4" xr3:uid="{7EB3419A-B920-4EE7-994E-E678D442E996}" name="CultivarClean"/>
    <tableColumn id="5" xr3:uid="{AF00C69B-8FF5-4DEC-BBE0-3B85501C023E}" name="TreeNumber"/>
    <tableColumn id="6" xr3:uid="{EBED1074-91D1-4A00-8C0A-90EA36E51C95}" name="ShootCount"/>
    <tableColumn id="7" xr3:uid="{097023A6-7940-42CC-B438-3108B0E7D085}" name="NutCount"/>
    <tableColumn id="8" xr3:uid="{75B9422B-F0D2-4FD4-A0A9-81375FF3DF1E}" name="NutYieldKgTree"/>
    <tableColumn id="9" xr3:uid="{CC0203C0-C15A-44F4-9D44-9C12817B730F}" name="RowWidth_m"/>
    <tableColumn id="10" xr3:uid="{E1C34917-E212-4CE1-8876-27F91B41D110}" name="InRowSpacing_m"/>
    <tableColumn id="11" xr3:uid="{E08756BD-5E0D-4644-8EA2-50648CCE60FB}" name="TreeHeight_m"/>
    <tableColumn id="12" xr3:uid="{4E7DFF12-02FD-4AFD-92C5-0F541EE4E427}" name="TreeDepth_m"/>
    <tableColumn id="13" xr3:uid="{404276A1-9AE1-4BE3-9F5E-BF5DB763AA66}" name="HedgeFlag"/>
    <tableColumn id="14" xr3:uid="{0DC5C0EA-E949-462A-B0E5-52B807FAFFB0}" name="SphereFlag"/>
    <tableColumn id="15" xr3:uid="{C0016CA0-E1F7-4663-ABDD-A8F1D94375A0}" name="ConeFlag"/>
    <tableColumn id="16" xr3:uid="{A318D6BE-21B4-4ED4-8185-E5B8A0D7089B}" name="CubeFlag"/>
    <tableColumn id="17" xr3:uid="{331871CD-FED1-466D-848E-FA1B4BC5A8CF}" name="VolumeType">
      <calculatedColumnFormula>IF(Table1[[#This Row],[HedgeFlag]]="~","Hedge",
 IF(Table1[[#This Row],[SphereFlag]]="~","Sphere",
 IF(Table1[[#This Row],[ConeFlag]]="~","Cone",
 IF(Table1[[#This Row],[CubeFlag]]="~","Cube","No volume"))))</calculatedColumnFormula>
    </tableColumn>
    <tableColumn id="18" xr3:uid="{487824CF-A9C0-4DD6-BE5D-C0CDC023249B}" name="TreesPerHa">
      <calculatedColumnFormula>IFERROR(10000/(Table1[[#This Row],[RowWidth_m]]*Table1[[#This Row],[InRowSpacing_m]]),"")</calculatedColumnFormula>
    </tableColumn>
    <tableColumn id="19" xr3:uid="{B93A367C-FF75-465A-BA58-7BD571FA3377}" name="NutsPerShoot">
      <calculatedColumnFormula>IFERROR(Table1[[#This Row],[NutCount]]/Table1[[#This Row],[ShootCount]],"")</calculatedColumnFormula>
    </tableColumn>
    <tableColumn id="20" xr3:uid="{1767FBB5-F94B-476E-AFB9-E4F6DF4DDB28}" name="VolumeAdj">
      <calculatedColumnFormula>IF(Table1[[#This Row],[VolumeType]]="Hedge",0.937*Table1[[#This Row],[TreeHeight_m]]*Table1[[#This Row],[TreeDepth_m]],IF(Table1[[#This Row],[VolumeType]]="Sphere",0.8*(4/3)*PI()*(Table1[[#This Row],[TreeDepth_m]]/2)^3,""))</calculatedColumnFormula>
    </tableColumn>
    <tableColumn id="21" xr3:uid="{7496E2B7-6744-4F10-836E-F77BC033CB54}" name="IsValid">
      <calculatedColumnFormula>IF(AND(Table1[[#This Row],[ShootCount]]&gt;0,Table1[[#This Row],[NutCount]]&gt;=0,Table1[[#This Row],[NutYieldKgTree]]&gt;0,Table1[[#This Row],[TreeHeight_m]]&gt;0,Table1[[#This Row],[TreeDepth_m]]&gt;0),"Yes","No")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2BCD-3F07-4362-9FD9-F773AE9BDD03}">
  <dimension ref="A1:O139"/>
  <sheetViews>
    <sheetView workbookViewId="0">
      <pane ySplit="1" topLeftCell="A2" activePane="bottomLeft" state="frozen"/>
      <selection pane="bottomLeft" activeCell="H60" sqref="H60"/>
    </sheetView>
  </sheetViews>
  <sheetFormatPr defaultRowHeight="14.4"/>
  <cols>
    <col min="1" max="1" width="17.33203125" customWidth="1"/>
    <col min="2" max="2" width="12.5546875" customWidth="1"/>
    <col min="3" max="3" width="17.44140625" customWidth="1"/>
    <col min="4" max="4" width="11.5546875" customWidth="1"/>
    <col min="5" max="5" width="11.33203125" customWidth="1"/>
    <col min="6" max="6" width="10" customWidth="1"/>
    <col min="7" max="7" width="9.109375" customWidth="1"/>
    <col min="8" max="8" width="10.109375" customWidth="1"/>
    <col min="9" max="9" width="12.44140625" bestFit="1" customWidth="1"/>
    <col min="11" max="11" width="10.6640625" customWidth="1"/>
    <col min="12" max="12" width="10.44140625" customWidth="1"/>
    <col min="13" max="13" width="8" customWidth="1"/>
    <col min="14" max="14" width="7.109375" customWidth="1"/>
    <col min="15" max="15" width="6.88671875" customWidth="1"/>
  </cols>
  <sheetData>
    <row r="1" spans="1:15" ht="23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2" t="s">
        <v>15</v>
      </c>
      <c r="B2" s="8" t="s">
        <v>16</v>
      </c>
      <c r="C2" s="3" t="s">
        <v>17</v>
      </c>
      <c r="D2" s="3" t="s">
        <v>18</v>
      </c>
      <c r="E2" s="3">
        <v>87</v>
      </c>
      <c r="F2" s="3">
        <v>113</v>
      </c>
      <c r="G2" s="3" t="s">
        <v>19</v>
      </c>
      <c r="H2" s="3">
        <v>10</v>
      </c>
      <c r="I2" s="3">
        <v>7</v>
      </c>
      <c r="J2" s="3">
        <v>6</v>
      </c>
      <c r="K2" s="3" t="s">
        <v>20</v>
      </c>
      <c r="L2" s="3"/>
      <c r="M2" s="6" t="s">
        <v>21</v>
      </c>
      <c r="N2" s="3"/>
      <c r="O2" s="3"/>
    </row>
    <row r="3" spans="1:15">
      <c r="A3" s="2" t="s">
        <v>15</v>
      </c>
      <c r="B3" s="8" t="s">
        <v>16</v>
      </c>
      <c r="C3" s="3" t="s">
        <v>17</v>
      </c>
      <c r="D3" s="3" t="s">
        <v>22</v>
      </c>
      <c r="E3" s="3">
        <v>116</v>
      </c>
      <c r="F3" s="3">
        <v>60</v>
      </c>
      <c r="G3" s="3" t="s">
        <v>19</v>
      </c>
      <c r="H3" s="3">
        <v>10</v>
      </c>
      <c r="I3" s="3">
        <v>7</v>
      </c>
      <c r="J3" s="3">
        <v>6</v>
      </c>
      <c r="K3" s="3" t="s">
        <v>23</v>
      </c>
      <c r="L3" s="3"/>
      <c r="M3" s="6" t="s">
        <v>21</v>
      </c>
      <c r="N3" s="3"/>
      <c r="O3" s="3"/>
    </row>
    <row r="4" spans="1:15">
      <c r="A4" s="2" t="s">
        <v>15</v>
      </c>
      <c r="B4" s="8" t="s">
        <v>16</v>
      </c>
      <c r="C4" s="3" t="s">
        <v>17</v>
      </c>
      <c r="D4" s="3" t="s">
        <v>24</v>
      </c>
      <c r="E4" s="3">
        <v>135</v>
      </c>
      <c r="F4" s="3">
        <v>112</v>
      </c>
      <c r="G4" s="3" t="s">
        <v>25</v>
      </c>
      <c r="H4" s="3">
        <v>10</v>
      </c>
      <c r="I4" s="3">
        <v>7</v>
      </c>
      <c r="J4" s="3">
        <v>6</v>
      </c>
      <c r="K4" s="3" t="s">
        <v>26</v>
      </c>
      <c r="L4" s="3"/>
      <c r="M4" s="6" t="s">
        <v>21</v>
      </c>
      <c r="N4" s="3"/>
      <c r="O4" s="3"/>
    </row>
    <row r="5" spans="1:15">
      <c r="A5" s="2" t="s">
        <v>15</v>
      </c>
      <c r="B5" s="8" t="s">
        <v>16</v>
      </c>
      <c r="C5" s="3" t="s">
        <v>17</v>
      </c>
      <c r="D5" s="3" t="s">
        <v>27</v>
      </c>
      <c r="E5" s="3">
        <v>83</v>
      </c>
      <c r="F5" s="3">
        <v>43</v>
      </c>
      <c r="G5" s="3" t="s">
        <v>28</v>
      </c>
      <c r="H5" s="3">
        <v>10</v>
      </c>
      <c r="I5" s="3">
        <v>7</v>
      </c>
      <c r="J5" s="3">
        <v>6</v>
      </c>
      <c r="K5" s="3" t="s">
        <v>29</v>
      </c>
      <c r="L5" s="3"/>
      <c r="M5" s="6" t="s">
        <v>21</v>
      </c>
      <c r="N5" s="3"/>
      <c r="O5" s="3"/>
    </row>
    <row r="6" spans="1:15">
      <c r="A6" s="2" t="s">
        <v>15</v>
      </c>
      <c r="B6" s="8" t="s">
        <v>16</v>
      </c>
      <c r="C6" s="3" t="s">
        <v>17</v>
      </c>
      <c r="D6" s="3" t="s">
        <v>30</v>
      </c>
      <c r="E6" s="3">
        <v>52</v>
      </c>
      <c r="F6" s="3">
        <v>65</v>
      </c>
      <c r="G6" s="3" t="s">
        <v>31</v>
      </c>
      <c r="H6" s="3">
        <v>10</v>
      </c>
      <c r="I6" s="3">
        <v>7</v>
      </c>
      <c r="J6" s="3">
        <v>6</v>
      </c>
      <c r="K6" s="3" t="s">
        <v>32</v>
      </c>
      <c r="L6" s="3"/>
      <c r="M6" s="6" t="s">
        <v>21</v>
      </c>
      <c r="N6" s="3"/>
      <c r="O6" s="3"/>
    </row>
    <row r="7" spans="1:15">
      <c r="A7" s="2" t="s">
        <v>15</v>
      </c>
      <c r="B7" s="8" t="s">
        <v>16</v>
      </c>
      <c r="C7" s="3" t="s">
        <v>17</v>
      </c>
      <c r="D7" s="3" t="s">
        <v>33</v>
      </c>
      <c r="E7" s="3">
        <v>68</v>
      </c>
      <c r="F7" s="3">
        <v>43</v>
      </c>
      <c r="G7" s="3" t="s">
        <v>34</v>
      </c>
      <c r="H7" s="3">
        <v>10</v>
      </c>
      <c r="I7" s="3">
        <v>7</v>
      </c>
      <c r="J7" s="3">
        <v>6</v>
      </c>
      <c r="K7" s="3" t="s">
        <v>35</v>
      </c>
      <c r="L7" s="3"/>
      <c r="M7" s="6" t="s">
        <v>21</v>
      </c>
      <c r="N7" s="3"/>
      <c r="O7" s="3"/>
    </row>
    <row r="8" spans="1:15">
      <c r="A8" s="2" t="s">
        <v>15</v>
      </c>
      <c r="B8" s="8" t="s">
        <v>16</v>
      </c>
      <c r="C8" s="3" t="s">
        <v>17</v>
      </c>
      <c r="D8" s="3" t="s">
        <v>36</v>
      </c>
      <c r="E8" s="3">
        <v>133</v>
      </c>
      <c r="F8" s="3">
        <v>159</v>
      </c>
      <c r="G8" s="3" t="s">
        <v>37</v>
      </c>
      <c r="H8" s="3">
        <v>10</v>
      </c>
      <c r="I8" s="3">
        <v>7</v>
      </c>
      <c r="J8" s="3">
        <v>6</v>
      </c>
      <c r="K8" s="3" t="s">
        <v>38</v>
      </c>
      <c r="L8" s="3"/>
      <c r="M8" s="6" t="s">
        <v>21</v>
      </c>
      <c r="N8" s="3"/>
      <c r="O8" s="3"/>
    </row>
    <row r="9" spans="1:15">
      <c r="A9" s="2" t="s">
        <v>15</v>
      </c>
      <c r="B9" s="8" t="s">
        <v>16</v>
      </c>
      <c r="C9" s="3" t="s">
        <v>17</v>
      </c>
      <c r="D9" s="3" t="s">
        <v>39</v>
      </c>
      <c r="E9" s="3">
        <v>84</v>
      </c>
      <c r="F9" s="3">
        <v>60</v>
      </c>
      <c r="G9" s="3" t="s">
        <v>40</v>
      </c>
      <c r="H9" s="3">
        <v>10</v>
      </c>
      <c r="I9" s="3">
        <v>7</v>
      </c>
      <c r="J9" s="3">
        <v>6</v>
      </c>
      <c r="K9" s="3" t="s">
        <v>26</v>
      </c>
      <c r="L9" s="3"/>
      <c r="M9" s="6" t="s">
        <v>21</v>
      </c>
      <c r="N9" s="3"/>
      <c r="O9" s="3"/>
    </row>
    <row r="10" spans="1:15">
      <c r="A10" s="2" t="s">
        <v>15</v>
      </c>
      <c r="B10" s="8" t="s">
        <v>16</v>
      </c>
      <c r="C10" s="3" t="s">
        <v>17</v>
      </c>
      <c r="D10" s="3" t="s">
        <v>41</v>
      </c>
      <c r="E10" s="3">
        <v>41</v>
      </c>
      <c r="F10" s="3">
        <v>56</v>
      </c>
      <c r="G10" s="3" t="s">
        <v>42</v>
      </c>
      <c r="H10" s="3">
        <v>10</v>
      </c>
      <c r="I10" s="3">
        <v>7</v>
      </c>
      <c r="J10" s="3">
        <v>6</v>
      </c>
      <c r="K10" s="3" t="s">
        <v>43</v>
      </c>
      <c r="L10" s="3"/>
      <c r="M10" s="4" t="s">
        <v>21</v>
      </c>
      <c r="N10" s="4"/>
      <c r="O10" s="3"/>
    </row>
    <row r="11" spans="1:15">
      <c r="A11" s="2" t="s">
        <v>15</v>
      </c>
      <c r="B11" s="8" t="s">
        <v>16</v>
      </c>
      <c r="C11" s="3" t="s">
        <v>17</v>
      </c>
      <c r="D11" s="3" t="s">
        <v>44</v>
      </c>
      <c r="E11" s="3">
        <v>57</v>
      </c>
      <c r="F11" s="3">
        <v>61</v>
      </c>
      <c r="G11" s="3" t="s">
        <v>45</v>
      </c>
      <c r="H11" s="3">
        <v>10</v>
      </c>
      <c r="I11" s="3">
        <v>7</v>
      </c>
      <c r="J11" s="3">
        <v>6</v>
      </c>
      <c r="K11" s="3" t="s">
        <v>23</v>
      </c>
      <c r="L11" s="3"/>
      <c r="M11" s="4" t="s">
        <v>21</v>
      </c>
      <c r="N11" s="4"/>
      <c r="O11" s="3"/>
    </row>
    <row r="12" spans="1:15">
      <c r="A12" s="2" t="s">
        <v>15</v>
      </c>
      <c r="B12" s="8" t="s">
        <v>16</v>
      </c>
      <c r="C12" s="3" t="s">
        <v>46</v>
      </c>
      <c r="D12" s="3" t="s">
        <v>47</v>
      </c>
      <c r="E12" s="3">
        <v>126</v>
      </c>
      <c r="F12" s="3">
        <v>91</v>
      </c>
      <c r="G12" s="3" t="s">
        <v>48</v>
      </c>
      <c r="H12" s="3">
        <v>10</v>
      </c>
      <c r="I12" s="3">
        <v>10</v>
      </c>
      <c r="J12" s="3">
        <v>9</v>
      </c>
      <c r="K12" s="3" t="s">
        <v>49</v>
      </c>
      <c r="L12" s="4" t="s">
        <v>21</v>
      </c>
      <c r="M12" s="3"/>
      <c r="N12" s="4"/>
      <c r="O12" s="3"/>
    </row>
    <row r="13" spans="1:15">
      <c r="A13" s="2" t="s">
        <v>15</v>
      </c>
      <c r="B13" s="8" t="s">
        <v>16</v>
      </c>
      <c r="C13" s="3" t="s">
        <v>46</v>
      </c>
      <c r="D13" s="3" t="s">
        <v>50</v>
      </c>
      <c r="E13" s="3">
        <v>106</v>
      </c>
      <c r="F13" s="3">
        <v>122</v>
      </c>
      <c r="G13" s="3" t="s">
        <v>51</v>
      </c>
      <c r="H13" s="3">
        <v>10</v>
      </c>
      <c r="I13" s="3">
        <v>10</v>
      </c>
      <c r="J13" s="3">
        <v>9</v>
      </c>
      <c r="K13" s="3" t="s">
        <v>52</v>
      </c>
      <c r="L13" s="4" t="s">
        <v>21</v>
      </c>
      <c r="M13" s="3"/>
      <c r="N13" s="3"/>
      <c r="O13" s="3"/>
    </row>
    <row r="14" spans="1:15">
      <c r="A14" s="2" t="s">
        <v>15</v>
      </c>
      <c r="B14" s="8" t="s">
        <v>16</v>
      </c>
      <c r="C14" s="3" t="s">
        <v>46</v>
      </c>
      <c r="D14" s="3" t="s">
        <v>53</v>
      </c>
      <c r="E14" s="3">
        <v>155</v>
      </c>
      <c r="F14" s="3">
        <v>107</v>
      </c>
      <c r="G14" s="3" t="s">
        <v>54</v>
      </c>
      <c r="H14" s="3">
        <v>10</v>
      </c>
      <c r="I14" s="3">
        <v>10</v>
      </c>
      <c r="J14" s="3">
        <v>9</v>
      </c>
      <c r="K14" s="3" t="s">
        <v>55</v>
      </c>
      <c r="L14" s="4" t="s">
        <v>21</v>
      </c>
      <c r="M14" s="3"/>
      <c r="N14" s="3"/>
      <c r="O14" s="3"/>
    </row>
    <row r="15" spans="1:15">
      <c r="A15" s="2" t="s">
        <v>15</v>
      </c>
      <c r="B15" s="8" t="s">
        <v>16</v>
      </c>
      <c r="C15" s="3" t="s">
        <v>46</v>
      </c>
      <c r="D15" s="3" t="s">
        <v>56</v>
      </c>
      <c r="E15" s="3">
        <v>111</v>
      </c>
      <c r="F15" s="3">
        <v>66</v>
      </c>
      <c r="G15" s="3" t="s">
        <v>57</v>
      </c>
      <c r="H15" s="3">
        <v>10</v>
      </c>
      <c r="I15" s="3">
        <v>10</v>
      </c>
      <c r="J15" s="3">
        <v>9</v>
      </c>
      <c r="K15" s="3" t="s">
        <v>49</v>
      </c>
      <c r="L15" s="4" t="s">
        <v>21</v>
      </c>
      <c r="M15" s="3"/>
      <c r="N15" s="3"/>
      <c r="O15" s="3"/>
    </row>
    <row r="16" spans="1:15">
      <c r="A16" s="2" t="s">
        <v>15</v>
      </c>
      <c r="B16" s="8" t="s">
        <v>16</v>
      </c>
      <c r="C16" s="3" t="s">
        <v>46</v>
      </c>
      <c r="D16" s="3" t="s">
        <v>58</v>
      </c>
      <c r="E16" s="3">
        <v>120</v>
      </c>
      <c r="F16" s="3">
        <v>161</v>
      </c>
      <c r="G16" s="3" t="s">
        <v>59</v>
      </c>
      <c r="H16" s="3">
        <v>10</v>
      </c>
      <c r="I16" s="3">
        <v>10</v>
      </c>
      <c r="J16" s="3">
        <v>9</v>
      </c>
      <c r="K16" s="3" t="s">
        <v>60</v>
      </c>
      <c r="L16" s="4" t="s">
        <v>21</v>
      </c>
      <c r="M16" s="3"/>
      <c r="N16" s="3"/>
      <c r="O16" s="3"/>
    </row>
    <row r="17" spans="1:15">
      <c r="A17" s="2" t="s">
        <v>15</v>
      </c>
      <c r="B17" s="8" t="s">
        <v>16</v>
      </c>
      <c r="C17" s="3" t="s">
        <v>46</v>
      </c>
      <c r="D17" s="3" t="s">
        <v>61</v>
      </c>
      <c r="E17" s="3">
        <v>139</v>
      </c>
      <c r="F17" s="3">
        <v>138</v>
      </c>
      <c r="G17" s="3" t="s">
        <v>62</v>
      </c>
      <c r="H17" s="3">
        <v>10</v>
      </c>
      <c r="I17" s="3">
        <v>10</v>
      </c>
      <c r="J17" s="3">
        <v>9</v>
      </c>
      <c r="K17" s="3" t="s">
        <v>63</v>
      </c>
      <c r="L17" s="4" t="s">
        <v>21</v>
      </c>
      <c r="M17" s="3"/>
      <c r="N17" s="3"/>
      <c r="O17" s="3"/>
    </row>
    <row r="18" spans="1:15">
      <c r="A18" s="2" t="s">
        <v>15</v>
      </c>
      <c r="B18" s="8" t="s">
        <v>16</v>
      </c>
      <c r="C18" s="3" t="s">
        <v>46</v>
      </c>
      <c r="D18" s="3" t="s">
        <v>64</v>
      </c>
      <c r="E18" s="3">
        <v>129</v>
      </c>
      <c r="F18" s="3">
        <v>49</v>
      </c>
      <c r="G18" s="3" t="s">
        <v>65</v>
      </c>
      <c r="H18" s="3">
        <v>10</v>
      </c>
      <c r="I18" s="3">
        <v>10</v>
      </c>
      <c r="J18" s="3">
        <v>9</v>
      </c>
      <c r="K18" s="3" t="s">
        <v>66</v>
      </c>
      <c r="L18" s="4" t="s">
        <v>21</v>
      </c>
      <c r="M18" s="3"/>
      <c r="N18" s="3"/>
      <c r="O18" s="3"/>
    </row>
    <row r="19" spans="1:15">
      <c r="A19" s="2" t="s">
        <v>15</v>
      </c>
      <c r="B19" s="8" t="s">
        <v>16</v>
      </c>
      <c r="C19" s="3" t="s">
        <v>46</v>
      </c>
      <c r="D19" s="3" t="s">
        <v>67</v>
      </c>
      <c r="E19" s="3">
        <v>112</v>
      </c>
      <c r="F19" s="3">
        <v>73</v>
      </c>
      <c r="G19" s="3" t="s">
        <v>68</v>
      </c>
      <c r="H19" s="3">
        <v>10</v>
      </c>
      <c r="I19" s="3">
        <v>10</v>
      </c>
      <c r="J19" s="3">
        <v>9</v>
      </c>
      <c r="K19" s="3" t="s">
        <v>69</v>
      </c>
      <c r="L19" s="4" t="s">
        <v>21</v>
      </c>
      <c r="M19" s="3"/>
      <c r="N19" s="3"/>
      <c r="O19" s="3"/>
    </row>
    <row r="20" spans="1:15">
      <c r="A20" s="2" t="s">
        <v>15</v>
      </c>
      <c r="B20" s="8" t="s">
        <v>16</v>
      </c>
      <c r="C20" s="3" t="s">
        <v>46</v>
      </c>
      <c r="D20" s="3" t="s">
        <v>70</v>
      </c>
      <c r="E20" s="3">
        <v>154</v>
      </c>
      <c r="F20" s="3">
        <v>204</v>
      </c>
      <c r="G20" s="3" t="s">
        <v>71</v>
      </c>
      <c r="H20" s="3">
        <v>10</v>
      </c>
      <c r="I20" s="3">
        <v>10</v>
      </c>
      <c r="J20" s="3">
        <v>9</v>
      </c>
      <c r="K20" s="3" t="s">
        <v>72</v>
      </c>
      <c r="L20" s="4" t="s">
        <v>21</v>
      </c>
      <c r="M20" s="3"/>
      <c r="N20" s="3"/>
      <c r="O20" s="3"/>
    </row>
    <row r="21" spans="1:15">
      <c r="A21" s="2" t="s">
        <v>15</v>
      </c>
      <c r="B21" s="8" t="s">
        <v>16</v>
      </c>
      <c r="C21" s="3" t="s">
        <v>46</v>
      </c>
      <c r="D21" s="3" t="s">
        <v>73</v>
      </c>
      <c r="E21" s="3">
        <v>101</v>
      </c>
      <c r="F21" s="3">
        <v>55</v>
      </c>
      <c r="G21" s="3" t="s">
        <v>74</v>
      </c>
      <c r="H21" s="3">
        <v>10</v>
      </c>
      <c r="I21" s="3">
        <v>10</v>
      </c>
      <c r="J21" s="3">
        <v>9</v>
      </c>
      <c r="K21" s="3" t="s">
        <v>75</v>
      </c>
      <c r="L21" s="4" t="s">
        <v>21</v>
      </c>
      <c r="M21" s="3"/>
      <c r="N21" s="3"/>
      <c r="O21" s="3"/>
    </row>
    <row r="22" spans="1:15">
      <c r="A22" s="2" t="s">
        <v>15</v>
      </c>
      <c r="B22" s="8" t="s">
        <v>16</v>
      </c>
      <c r="C22" s="3" t="s">
        <v>76</v>
      </c>
      <c r="D22" s="3" t="s">
        <v>77</v>
      </c>
      <c r="E22" s="3">
        <v>94</v>
      </c>
      <c r="F22" s="3">
        <v>57</v>
      </c>
      <c r="G22" s="3" t="s">
        <v>78</v>
      </c>
      <c r="H22" s="3">
        <v>10</v>
      </c>
      <c r="I22" s="3">
        <v>10</v>
      </c>
      <c r="J22" s="3">
        <v>9</v>
      </c>
      <c r="K22" s="3" t="s">
        <v>79</v>
      </c>
      <c r="L22" s="4" t="s">
        <v>21</v>
      </c>
      <c r="M22" s="3"/>
      <c r="N22" s="3"/>
      <c r="O22" s="3"/>
    </row>
    <row r="23" spans="1:15">
      <c r="A23" s="2" t="s">
        <v>15</v>
      </c>
      <c r="B23" s="8" t="s">
        <v>16</v>
      </c>
      <c r="C23" s="3" t="s">
        <v>76</v>
      </c>
      <c r="D23" s="3" t="s">
        <v>80</v>
      </c>
      <c r="E23" s="3">
        <v>66</v>
      </c>
      <c r="F23" s="3">
        <v>32</v>
      </c>
      <c r="G23" s="3" t="s">
        <v>81</v>
      </c>
      <c r="H23" s="3">
        <v>10</v>
      </c>
      <c r="I23" s="3">
        <v>10</v>
      </c>
      <c r="J23" s="3">
        <v>9</v>
      </c>
      <c r="K23" s="3" t="s">
        <v>82</v>
      </c>
      <c r="L23" s="4" t="s">
        <v>21</v>
      </c>
      <c r="M23" s="3"/>
      <c r="N23" s="3"/>
      <c r="O23" s="3"/>
    </row>
    <row r="24" spans="1:15">
      <c r="A24" s="2" t="s">
        <v>15</v>
      </c>
      <c r="B24" s="8" t="s">
        <v>16</v>
      </c>
      <c r="C24" s="3" t="s">
        <v>76</v>
      </c>
      <c r="D24" s="3" t="s">
        <v>83</v>
      </c>
      <c r="E24" s="3">
        <v>72</v>
      </c>
      <c r="F24" s="3">
        <v>83</v>
      </c>
      <c r="G24" s="3" t="s">
        <v>84</v>
      </c>
      <c r="H24" s="3">
        <v>10</v>
      </c>
      <c r="I24" s="3">
        <v>10</v>
      </c>
      <c r="J24" s="3">
        <v>9</v>
      </c>
      <c r="K24" s="3" t="s">
        <v>85</v>
      </c>
      <c r="L24" s="4" t="s">
        <v>21</v>
      </c>
      <c r="M24" s="3"/>
      <c r="N24" s="3"/>
      <c r="O24" s="3"/>
    </row>
    <row r="25" spans="1:15">
      <c r="A25" s="2" t="s">
        <v>15</v>
      </c>
      <c r="B25" s="8" t="s">
        <v>16</v>
      </c>
      <c r="C25" s="3" t="s">
        <v>76</v>
      </c>
      <c r="D25" s="3" t="s">
        <v>86</v>
      </c>
      <c r="E25" s="3">
        <v>89</v>
      </c>
      <c r="F25" s="3">
        <v>75</v>
      </c>
      <c r="G25" s="3" t="s">
        <v>87</v>
      </c>
      <c r="H25" s="3">
        <v>10</v>
      </c>
      <c r="I25" s="3">
        <v>10</v>
      </c>
      <c r="J25" s="3">
        <v>9</v>
      </c>
      <c r="K25" s="3" t="s">
        <v>88</v>
      </c>
      <c r="L25" s="4" t="s">
        <v>21</v>
      </c>
      <c r="M25" s="3"/>
      <c r="N25" s="3"/>
      <c r="O25" s="3"/>
    </row>
    <row r="26" spans="1:15">
      <c r="A26" s="2" t="s">
        <v>15</v>
      </c>
      <c r="B26" s="8" t="s">
        <v>16</v>
      </c>
      <c r="C26" s="3" t="s">
        <v>76</v>
      </c>
      <c r="D26" s="3" t="s">
        <v>89</v>
      </c>
      <c r="E26" s="3">
        <v>96</v>
      </c>
      <c r="F26" s="3">
        <v>67</v>
      </c>
      <c r="G26" s="3" t="s">
        <v>90</v>
      </c>
      <c r="H26" s="3">
        <v>10</v>
      </c>
      <c r="I26" s="3">
        <v>10</v>
      </c>
      <c r="J26" s="3">
        <v>9</v>
      </c>
      <c r="K26" s="3" t="s">
        <v>91</v>
      </c>
      <c r="L26" s="4" t="s">
        <v>21</v>
      </c>
      <c r="M26" s="3"/>
      <c r="N26" s="3"/>
      <c r="O26" s="3"/>
    </row>
    <row r="27" spans="1:15">
      <c r="A27" s="2" t="s">
        <v>15</v>
      </c>
      <c r="B27" s="8" t="s">
        <v>16</v>
      </c>
      <c r="C27" s="3" t="s">
        <v>76</v>
      </c>
      <c r="D27" s="3" t="s">
        <v>92</v>
      </c>
      <c r="E27" s="3">
        <v>79</v>
      </c>
      <c r="F27" s="3">
        <v>62</v>
      </c>
      <c r="G27" s="3" t="s">
        <v>93</v>
      </c>
      <c r="H27" s="3">
        <v>10</v>
      </c>
      <c r="I27" s="3">
        <v>10</v>
      </c>
      <c r="J27" s="3">
        <v>9</v>
      </c>
      <c r="K27" s="3" t="s">
        <v>85</v>
      </c>
      <c r="L27" s="4" t="s">
        <v>21</v>
      </c>
      <c r="M27" s="3"/>
      <c r="N27" s="3"/>
      <c r="O27" s="3"/>
    </row>
    <row r="28" spans="1:15">
      <c r="A28" s="2" t="s">
        <v>15</v>
      </c>
      <c r="B28" s="8" t="s">
        <v>16</v>
      </c>
      <c r="C28" s="3" t="s">
        <v>76</v>
      </c>
      <c r="D28" s="3" t="s">
        <v>94</v>
      </c>
      <c r="E28" s="3">
        <v>101</v>
      </c>
      <c r="F28" s="3">
        <v>97</v>
      </c>
      <c r="G28" s="3" t="s">
        <v>95</v>
      </c>
      <c r="H28" s="3">
        <v>10</v>
      </c>
      <c r="I28" s="3">
        <v>10</v>
      </c>
      <c r="J28" s="3">
        <v>9</v>
      </c>
      <c r="K28" s="3" t="s">
        <v>91</v>
      </c>
      <c r="L28" s="4" t="s">
        <v>21</v>
      </c>
      <c r="M28" s="3"/>
      <c r="N28" s="3"/>
      <c r="O28" s="3"/>
    </row>
    <row r="29" spans="1:15">
      <c r="A29" s="2" t="s">
        <v>15</v>
      </c>
      <c r="B29" s="8" t="s">
        <v>16</v>
      </c>
      <c r="C29" s="3" t="s">
        <v>76</v>
      </c>
      <c r="D29" s="3" t="s">
        <v>96</v>
      </c>
      <c r="E29" s="3">
        <v>68</v>
      </c>
      <c r="F29" s="3">
        <v>64</v>
      </c>
      <c r="G29" s="3" t="s">
        <v>97</v>
      </c>
      <c r="H29" s="3">
        <v>10</v>
      </c>
      <c r="I29" s="3">
        <v>10</v>
      </c>
      <c r="J29" s="3">
        <v>9</v>
      </c>
      <c r="K29" s="3" t="s">
        <v>55</v>
      </c>
      <c r="L29" s="4" t="s">
        <v>21</v>
      </c>
      <c r="M29" s="1"/>
      <c r="N29" s="1"/>
      <c r="O29" s="1"/>
    </row>
    <row r="30" spans="1:15">
      <c r="A30" s="2" t="s">
        <v>15</v>
      </c>
      <c r="B30" s="8" t="s">
        <v>16</v>
      </c>
      <c r="C30" s="3" t="s">
        <v>76</v>
      </c>
      <c r="D30" s="3" t="s">
        <v>98</v>
      </c>
      <c r="E30" s="3">
        <v>131</v>
      </c>
      <c r="F30" s="3">
        <v>127</v>
      </c>
      <c r="G30" s="3" t="s">
        <v>99</v>
      </c>
      <c r="H30" s="3">
        <v>10</v>
      </c>
      <c r="I30" s="3">
        <v>10</v>
      </c>
      <c r="J30" s="3">
        <v>9</v>
      </c>
      <c r="K30" s="3" t="s">
        <v>100</v>
      </c>
      <c r="L30" s="4" t="s">
        <v>21</v>
      </c>
      <c r="M30" s="1"/>
      <c r="N30" s="1"/>
      <c r="O30" s="1"/>
    </row>
    <row r="31" spans="1:15">
      <c r="A31" s="2" t="s">
        <v>15</v>
      </c>
      <c r="B31" s="8" t="s">
        <v>16</v>
      </c>
      <c r="C31" s="3" t="s">
        <v>76</v>
      </c>
      <c r="D31" s="3" t="s">
        <v>101</v>
      </c>
      <c r="E31" s="3">
        <v>98</v>
      </c>
      <c r="F31" s="3">
        <v>85</v>
      </c>
      <c r="G31" s="3" t="s">
        <v>102</v>
      </c>
      <c r="H31" s="3">
        <v>10</v>
      </c>
      <c r="I31" s="3">
        <v>10</v>
      </c>
      <c r="J31" s="3">
        <v>9</v>
      </c>
      <c r="K31" s="3" t="s">
        <v>103</v>
      </c>
      <c r="L31" s="4" t="s">
        <v>21</v>
      </c>
      <c r="M31" s="1"/>
      <c r="N31" s="1"/>
      <c r="O31" s="1"/>
    </row>
    <row r="32" spans="1:15">
      <c r="A32" s="2" t="s">
        <v>104</v>
      </c>
      <c r="B32" s="7" t="s">
        <v>105</v>
      </c>
      <c r="C32" s="3" t="s">
        <v>106</v>
      </c>
      <c r="D32" s="3">
        <v>1</v>
      </c>
      <c r="E32" s="3">
        <v>81</v>
      </c>
      <c r="F32" s="3">
        <v>97</v>
      </c>
      <c r="G32" s="3" t="s">
        <v>107</v>
      </c>
      <c r="H32" s="3">
        <v>10</v>
      </c>
      <c r="I32" s="3">
        <v>10</v>
      </c>
      <c r="J32" s="3" t="s">
        <v>108</v>
      </c>
      <c r="K32" s="3" t="s">
        <v>60</v>
      </c>
      <c r="L32" s="3"/>
      <c r="M32" s="4" t="s">
        <v>21</v>
      </c>
      <c r="N32" s="3"/>
      <c r="O32" s="3"/>
    </row>
    <row r="33" spans="1:15">
      <c r="A33" s="2" t="s">
        <v>104</v>
      </c>
      <c r="B33" s="7" t="s">
        <v>105</v>
      </c>
      <c r="C33" s="3" t="s">
        <v>106</v>
      </c>
      <c r="D33" s="3">
        <v>2</v>
      </c>
      <c r="E33" s="3">
        <v>245</v>
      </c>
      <c r="F33" s="3">
        <v>180</v>
      </c>
      <c r="G33" s="3" t="s">
        <v>109</v>
      </c>
      <c r="H33" s="3">
        <v>10</v>
      </c>
      <c r="I33" s="3">
        <v>10</v>
      </c>
      <c r="J33" s="3" t="s">
        <v>108</v>
      </c>
      <c r="K33" s="3" t="s">
        <v>110</v>
      </c>
      <c r="L33" s="3"/>
      <c r="M33" s="4" t="s">
        <v>21</v>
      </c>
      <c r="N33" s="3"/>
      <c r="O33" s="3"/>
    </row>
    <row r="34" spans="1:15" s="11" customFormat="1">
      <c r="A34" s="2" t="s">
        <v>104</v>
      </c>
      <c r="B34" s="7" t="s">
        <v>105</v>
      </c>
      <c r="C34" s="9" t="s">
        <v>106</v>
      </c>
      <c r="D34" s="9">
        <v>3</v>
      </c>
      <c r="E34" s="9">
        <v>147</v>
      </c>
      <c r="F34" s="9">
        <v>151</v>
      </c>
      <c r="G34" s="9" t="s">
        <v>111</v>
      </c>
      <c r="H34" s="9">
        <v>10</v>
      </c>
      <c r="I34" s="9">
        <v>10</v>
      </c>
      <c r="J34" s="9" t="s">
        <v>108</v>
      </c>
      <c r="K34" s="9" t="s">
        <v>91</v>
      </c>
      <c r="L34" s="9"/>
      <c r="M34" s="10" t="s">
        <v>21</v>
      </c>
      <c r="N34" s="9"/>
      <c r="O34" s="9"/>
    </row>
    <row r="35" spans="1:15">
      <c r="A35" s="2" t="s">
        <v>104</v>
      </c>
      <c r="B35" s="7" t="s">
        <v>105</v>
      </c>
      <c r="C35" s="3" t="s">
        <v>106</v>
      </c>
      <c r="D35" s="3">
        <v>4</v>
      </c>
      <c r="E35" s="3">
        <v>134</v>
      </c>
      <c r="F35" s="3">
        <v>72</v>
      </c>
      <c r="G35" s="3" t="s">
        <v>95</v>
      </c>
      <c r="H35" s="3">
        <v>10</v>
      </c>
      <c r="I35" s="3">
        <v>10</v>
      </c>
      <c r="J35" s="3" t="s">
        <v>108</v>
      </c>
      <c r="K35" s="3" t="s">
        <v>112</v>
      </c>
      <c r="L35" s="3"/>
      <c r="M35" s="4" t="s">
        <v>21</v>
      </c>
      <c r="N35" s="3"/>
      <c r="O35" s="3"/>
    </row>
    <row r="36" spans="1:15">
      <c r="A36" s="2" t="s">
        <v>104</v>
      </c>
      <c r="B36" s="7" t="s">
        <v>105</v>
      </c>
      <c r="C36" s="3" t="s">
        <v>106</v>
      </c>
      <c r="D36" s="3">
        <v>5</v>
      </c>
      <c r="E36" s="3">
        <v>191</v>
      </c>
      <c r="F36" s="3">
        <v>102</v>
      </c>
      <c r="G36" s="3" t="s">
        <v>113</v>
      </c>
      <c r="H36" s="3">
        <v>10</v>
      </c>
      <c r="I36" s="3">
        <v>10</v>
      </c>
      <c r="J36" s="3" t="s">
        <v>108</v>
      </c>
      <c r="K36" s="3" t="s">
        <v>114</v>
      </c>
      <c r="L36" s="3"/>
      <c r="M36" s="4" t="s">
        <v>21</v>
      </c>
      <c r="N36" s="3"/>
      <c r="O36" s="3"/>
    </row>
    <row r="37" spans="1:15">
      <c r="A37" s="2" t="s">
        <v>104</v>
      </c>
      <c r="B37" s="7" t="s">
        <v>105</v>
      </c>
      <c r="C37" s="3" t="s">
        <v>106</v>
      </c>
      <c r="D37" s="3">
        <v>6</v>
      </c>
      <c r="E37" s="3">
        <v>98</v>
      </c>
      <c r="F37" s="3">
        <v>70</v>
      </c>
      <c r="G37" s="3" t="s">
        <v>115</v>
      </c>
      <c r="H37" s="3">
        <v>10</v>
      </c>
      <c r="I37" s="3">
        <v>10</v>
      </c>
      <c r="J37" s="3" t="s">
        <v>108</v>
      </c>
      <c r="K37" s="3" t="s">
        <v>116</v>
      </c>
      <c r="L37" s="3"/>
      <c r="M37" s="4" t="s">
        <v>21</v>
      </c>
      <c r="N37" s="3"/>
      <c r="O37" s="3"/>
    </row>
    <row r="38" spans="1:15">
      <c r="A38" s="2" t="s">
        <v>104</v>
      </c>
      <c r="B38" s="7" t="s">
        <v>105</v>
      </c>
      <c r="C38" s="3" t="s">
        <v>106</v>
      </c>
      <c r="D38" s="3">
        <v>7</v>
      </c>
      <c r="E38" s="3">
        <v>206</v>
      </c>
      <c r="F38" s="3">
        <v>102</v>
      </c>
      <c r="G38" s="3" t="s">
        <v>117</v>
      </c>
      <c r="H38" s="3">
        <v>10</v>
      </c>
      <c r="I38" s="3">
        <v>10</v>
      </c>
      <c r="J38" s="3" t="s">
        <v>108</v>
      </c>
      <c r="K38" s="3" t="s">
        <v>103</v>
      </c>
      <c r="L38" s="3"/>
      <c r="M38" s="4" t="s">
        <v>21</v>
      </c>
      <c r="N38" s="3"/>
      <c r="O38" s="3"/>
    </row>
    <row r="39" spans="1:15">
      <c r="A39" s="2" t="s">
        <v>104</v>
      </c>
      <c r="B39" s="7" t="s">
        <v>105</v>
      </c>
      <c r="C39" s="3" t="s">
        <v>106</v>
      </c>
      <c r="D39" s="3">
        <v>8</v>
      </c>
      <c r="E39" s="3">
        <v>104</v>
      </c>
      <c r="F39" s="3">
        <v>65</v>
      </c>
      <c r="G39" s="3" t="s">
        <v>118</v>
      </c>
      <c r="H39" s="3">
        <v>10</v>
      </c>
      <c r="I39" s="3">
        <v>10</v>
      </c>
      <c r="J39" s="3" t="s">
        <v>108</v>
      </c>
      <c r="K39" s="3" t="s">
        <v>119</v>
      </c>
      <c r="L39" s="3"/>
      <c r="M39" s="4" t="s">
        <v>21</v>
      </c>
      <c r="N39" s="3"/>
      <c r="O39" s="3"/>
    </row>
    <row r="40" spans="1:15">
      <c r="A40" s="2" t="s">
        <v>104</v>
      </c>
      <c r="B40" s="7" t="s">
        <v>105</v>
      </c>
      <c r="C40" s="3" t="s">
        <v>106</v>
      </c>
      <c r="D40" s="3">
        <v>9</v>
      </c>
      <c r="E40" s="3">
        <v>111</v>
      </c>
      <c r="F40" s="3">
        <v>89</v>
      </c>
      <c r="G40" s="3" t="s">
        <v>120</v>
      </c>
      <c r="H40" s="3">
        <v>10</v>
      </c>
      <c r="I40" s="3">
        <v>10</v>
      </c>
      <c r="J40" s="3" t="s">
        <v>108</v>
      </c>
      <c r="K40" s="3" t="s">
        <v>121</v>
      </c>
      <c r="L40" s="3"/>
      <c r="M40" s="4" t="s">
        <v>21</v>
      </c>
      <c r="N40" s="3"/>
      <c r="O40" s="3"/>
    </row>
    <row r="41" spans="1:15">
      <c r="A41" s="2" t="s">
        <v>104</v>
      </c>
      <c r="B41" s="7" t="s">
        <v>105</v>
      </c>
      <c r="C41" s="3" t="s">
        <v>106</v>
      </c>
      <c r="D41" s="3">
        <v>10</v>
      </c>
      <c r="E41" s="3">
        <v>88</v>
      </c>
      <c r="F41" s="3">
        <v>65</v>
      </c>
      <c r="G41" s="3" t="s">
        <v>122</v>
      </c>
      <c r="H41" s="3">
        <v>10</v>
      </c>
      <c r="I41" s="3">
        <v>10</v>
      </c>
      <c r="J41" s="3" t="s">
        <v>108</v>
      </c>
      <c r="K41" s="3" t="s">
        <v>123</v>
      </c>
      <c r="L41" s="3"/>
      <c r="M41" s="4" t="s">
        <v>21</v>
      </c>
      <c r="N41" s="3"/>
      <c r="O41" s="3"/>
    </row>
    <row r="42" spans="1:15">
      <c r="A42" s="2" t="s">
        <v>104</v>
      </c>
      <c r="B42" s="7" t="s">
        <v>105</v>
      </c>
      <c r="C42" s="3" t="s">
        <v>106</v>
      </c>
      <c r="D42" s="3">
        <v>11</v>
      </c>
      <c r="E42" s="3">
        <v>151</v>
      </c>
      <c r="F42" s="3">
        <v>90</v>
      </c>
      <c r="G42" s="3" t="s">
        <v>124</v>
      </c>
      <c r="H42" s="3">
        <v>10</v>
      </c>
      <c r="I42" s="3">
        <v>10</v>
      </c>
      <c r="J42" s="3" t="s">
        <v>108</v>
      </c>
      <c r="K42" s="3" t="s">
        <v>125</v>
      </c>
      <c r="L42" s="3"/>
      <c r="M42" s="4" t="s">
        <v>21</v>
      </c>
      <c r="N42" s="3"/>
      <c r="O42" s="3"/>
    </row>
    <row r="43" spans="1:15">
      <c r="A43" s="2" t="s">
        <v>104</v>
      </c>
      <c r="B43" s="7" t="s">
        <v>105</v>
      </c>
      <c r="C43" s="3" t="s">
        <v>106</v>
      </c>
      <c r="D43" s="3">
        <v>12</v>
      </c>
      <c r="E43" s="3">
        <v>117</v>
      </c>
      <c r="F43" s="3">
        <v>75</v>
      </c>
      <c r="G43" s="3" t="s">
        <v>126</v>
      </c>
      <c r="H43" s="3">
        <v>10</v>
      </c>
      <c r="I43" s="3">
        <v>10</v>
      </c>
      <c r="J43" s="3" t="s">
        <v>108</v>
      </c>
      <c r="K43" s="3" t="s">
        <v>82</v>
      </c>
      <c r="L43" s="3"/>
      <c r="M43" s="4" t="s">
        <v>21</v>
      </c>
      <c r="N43" s="3"/>
      <c r="O43" s="3"/>
    </row>
    <row r="44" spans="1:15">
      <c r="A44" s="2" t="s">
        <v>104</v>
      </c>
      <c r="B44" s="7" t="s">
        <v>105</v>
      </c>
      <c r="C44" s="3" t="s">
        <v>106</v>
      </c>
      <c r="D44" s="3">
        <v>13</v>
      </c>
      <c r="E44" s="3">
        <v>212</v>
      </c>
      <c r="F44" s="3">
        <v>232</v>
      </c>
      <c r="G44" s="3" t="s">
        <v>127</v>
      </c>
      <c r="H44" s="3">
        <v>10</v>
      </c>
      <c r="I44" s="3">
        <v>10</v>
      </c>
      <c r="J44" s="3" t="s">
        <v>108</v>
      </c>
      <c r="K44" s="3" t="s">
        <v>128</v>
      </c>
      <c r="L44" s="3"/>
      <c r="M44" s="4" t="s">
        <v>21</v>
      </c>
      <c r="N44" s="3"/>
      <c r="O44" s="3"/>
    </row>
    <row r="45" spans="1:15">
      <c r="A45" s="2" t="s">
        <v>104</v>
      </c>
      <c r="B45" s="7" t="s">
        <v>105</v>
      </c>
      <c r="C45" s="3" t="s">
        <v>106</v>
      </c>
      <c r="D45" s="3">
        <v>14</v>
      </c>
      <c r="E45" s="3">
        <v>87</v>
      </c>
      <c r="F45" s="3">
        <v>45</v>
      </c>
      <c r="G45" s="3" t="s">
        <v>129</v>
      </c>
      <c r="H45" s="3">
        <v>10</v>
      </c>
      <c r="I45" s="3">
        <v>10</v>
      </c>
      <c r="J45" s="3" t="s">
        <v>108</v>
      </c>
      <c r="K45" s="3" t="s">
        <v>130</v>
      </c>
      <c r="L45" s="3"/>
      <c r="M45" s="4" t="s">
        <v>21</v>
      </c>
      <c r="N45" s="3"/>
      <c r="O45" s="3"/>
    </row>
    <row r="46" spans="1:15">
      <c r="A46" s="2" t="s">
        <v>104</v>
      </c>
      <c r="B46" s="7" t="s">
        <v>105</v>
      </c>
      <c r="C46" s="3" t="s">
        <v>106</v>
      </c>
      <c r="D46" s="3">
        <v>15</v>
      </c>
      <c r="E46" s="3">
        <v>131</v>
      </c>
      <c r="F46" s="3">
        <v>113</v>
      </c>
      <c r="G46" s="3" t="s">
        <v>131</v>
      </c>
      <c r="H46" s="3">
        <v>10</v>
      </c>
      <c r="I46" s="3">
        <v>10</v>
      </c>
      <c r="J46" s="3" t="s">
        <v>108</v>
      </c>
      <c r="K46" s="3" t="s">
        <v>79</v>
      </c>
      <c r="L46" s="3"/>
      <c r="M46" s="4" t="s">
        <v>21</v>
      </c>
      <c r="N46" s="3"/>
      <c r="O46" s="3"/>
    </row>
    <row r="47" spans="1:15">
      <c r="A47" s="2" t="s">
        <v>104</v>
      </c>
      <c r="B47" s="7" t="s">
        <v>105</v>
      </c>
      <c r="C47" s="3" t="s">
        <v>106</v>
      </c>
      <c r="D47" s="3">
        <v>16</v>
      </c>
      <c r="E47" s="3">
        <v>169</v>
      </c>
      <c r="F47" s="3">
        <v>99</v>
      </c>
      <c r="G47" s="3" t="s">
        <v>132</v>
      </c>
      <c r="H47" s="3">
        <v>10</v>
      </c>
      <c r="I47" s="3">
        <v>10</v>
      </c>
      <c r="J47" s="3" t="s">
        <v>108</v>
      </c>
      <c r="K47" s="3" t="s">
        <v>133</v>
      </c>
      <c r="L47" s="3"/>
      <c r="M47" s="4" t="s">
        <v>21</v>
      </c>
      <c r="N47" s="3"/>
      <c r="O47" s="3"/>
    </row>
    <row r="48" spans="1:15">
      <c r="A48" s="2" t="s">
        <v>104</v>
      </c>
      <c r="B48" s="7" t="s">
        <v>105</v>
      </c>
      <c r="C48" s="3" t="s">
        <v>106</v>
      </c>
      <c r="D48" s="3">
        <v>17</v>
      </c>
      <c r="E48" s="3">
        <v>64</v>
      </c>
      <c r="F48" s="3">
        <v>65</v>
      </c>
      <c r="G48" s="3" t="s">
        <v>134</v>
      </c>
      <c r="H48" s="3">
        <v>10</v>
      </c>
      <c r="I48" s="3">
        <v>10</v>
      </c>
      <c r="J48" s="3" t="s">
        <v>108</v>
      </c>
      <c r="K48" s="3" t="s">
        <v>135</v>
      </c>
      <c r="L48" s="3"/>
      <c r="M48" s="4" t="s">
        <v>21</v>
      </c>
      <c r="N48" s="3"/>
      <c r="O48" s="3"/>
    </row>
    <row r="49" spans="1:15">
      <c r="A49" s="2" t="s">
        <v>104</v>
      </c>
      <c r="B49" s="7" t="s">
        <v>105</v>
      </c>
      <c r="C49" s="3" t="s">
        <v>106</v>
      </c>
      <c r="D49" s="3">
        <v>18</v>
      </c>
      <c r="E49" s="3">
        <v>172</v>
      </c>
      <c r="F49" s="3">
        <v>128</v>
      </c>
      <c r="G49" s="3" t="s">
        <v>136</v>
      </c>
      <c r="H49" s="3">
        <v>10</v>
      </c>
      <c r="I49" s="3">
        <v>10</v>
      </c>
      <c r="J49" s="3" t="s">
        <v>108</v>
      </c>
      <c r="K49" s="3" t="s">
        <v>137</v>
      </c>
      <c r="L49" s="3"/>
      <c r="M49" s="4" t="s">
        <v>21</v>
      </c>
      <c r="N49" s="3"/>
      <c r="O49" s="3"/>
    </row>
    <row r="50" spans="1:15">
      <c r="A50" s="2" t="s">
        <v>104</v>
      </c>
      <c r="B50" s="7" t="s">
        <v>105</v>
      </c>
      <c r="C50" s="3" t="s">
        <v>106</v>
      </c>
      <c r="D50" s="3">
        <v>19</v>
      </c>
      <c r="E50" s="3">
        <v>121</v>
      </c>
      <c r="F50" s="3">
        <v>246</v>
      </c>
      <c r="G50" s="3" t="s">
        <v>138</v>
      </c>
      <c r="H50" s="3">
        <v>10</v>
      </c>
      <c r="I50" s="3">
        <v>10</v>
      </c>
      <c r="J50" s="3" t="s">
        <v>108</v>
      </c>
      <c r="K50" s="3" t="s">
        <v>91</v>
      </c>
      <c r="L50" s="3"/>
      <c r="M50" s="4" t="s">
        <v>21</v>
      </c>
      <c r="N50" s="3"/>
      <c r="O50" s="3"/>
    </row>
    <row r="51" spans="1:15">
      <c r="A51" s="2" t="s">
        <v>104</v>
      </c>
      <c r="B51" s="7" t="s">
        <v>105</v>
      </c>
      <c r="C51" s="3" t="s">
        <v>106</v>
      </c>
      <c r="D51" s="3">
        <v>20</v>
      </c>
      <c r="E51" s="3">
        <v>95</v>
      </c>
      <c r="F51" s="3">
        <v>72</v>
      </c>
      <c r="G51" s="3" t="s">
        <v>138</v>
      </c>
      <c r="H51" s="3">
        <v>10</v>
      </c>
      <c r="I51" s="3">
        <v>10</v>
      </c>
      <c r="J51" s="3" t="s">
        <v>108</v>
      </c>
      <c r="K51" s="3" t="s">
        <v>139</v>
      </c>
      <c r="L51" s="3"/>
      <c r="M51" s="4" t="s">
        <v>21</v>
      </c>
      <c r="N51" s="3"/>
      <c r="O51" s="3"/>
    </row>
    <row r="52" spans="1:15">
      <c r="A52" s="2" t="s">
        <v>104</v>
      </c>
      <c r="B52" s="7" t="s">
        <v>105</v>
      </c>
      <c r="C52" s="3" t="s">
        <v>106</v>
      </c>
      <c r="D52" s="3">
        <v>21</v>
      </c>
      <c r="E52" s="3">
        <v>140</v>
      </c>
      <c r="F52" s="3">
        <v>43</v>
      </c>
      <c r="G52" s="3" t="s">
        <v>140</v>
      </c>
      <c r="H52" s="3">
        <v>10</v>
      </c>
      <c r="I52" s="3">
        <v>10</v>
      </c>
      <c r="J52" s="3" t="s">
        <v>108</v>
      </c>
      <c r="K52" s="3" t="s">
        <v>141</v>
      </c>
      <c r="L52" s="3"/>
      <c r="M52" s="4" t="s">
        <v>21</v>
      </c>
      <c r="N52" s="3"/>
      <c r="O52" s="3"/>
    </row>
    <row r="53" spans="1:15">
      <c r="A53" s="2" t="s">
        <v>104</v>
      </c>
      <c r="B53" s="7" t="s">
        <v>105</v>
      </c>
      <c r="C53" s="3" t="s">
        <v>106</v>
      </c>
      <c r="D53" s="3">
        <v>22</v>
      </c>
      <c r="E53" s="3">
        <v>148</v>
      </c>
      <c r="F53" s="3">
        <v>144</v>
      </c>
      <c r="G53" s="3" t="s">
        <v>142</v>
      </c>
      <c r="H53" s="3">
        <v>10</v>
      </c>
      <c r="I53" s="3">
        <v>10</v>
      </c>
      <c r="J53" s="3" t="s">
        <v>108</v>
      </c>
      <c r="K53" s="3" t="s">
        <v>91</v>
      </c>
      <c r="L53" s="3"/>
      <c r="M53" s="4" t="s">
        <v>21</v>
      </c>
      <c r="N53" s="3"/>
      <c r="O53" s="3"/>
    </row>
    <row r="54" spans="1:15">
      <c r="A54" s="2" t="s">
        <v>104</v>
      </c>
      <c r="B54" s="7" t="s">
        <v>105</v>
      </c>
      <c r="C54" s="3" t="s">
        <v>106</v>
      </c>
      <c r="D54" s="3">
        <v>23</v>
      </c>
      <c r="E54" s="3">
        <v>127</v>
      </c>
      <c r="F54" s="3">
        <v>82</v>
      </c>
      <c r="G54" s="3" t="s">
        <v>142</v>
      </c>
      <c r="H54" s="3">
        <v>10</v>
      </c>
      <c r="I54" s="3">
        <v>10</v>
      </c>
      <c r="J54" s="3" t="s">
        <v>108</v>
      </c>
      <c r="K54" s="3" t="s">
        <v>143</v>
      </c>
      <c r="L54" s="3"/>
      <c r="M54" s="4" t="s">
        <v>21</v>
      </c>
      <c r="N54" s="3"/>
      <c r="O54" s="3"/>
    </row>
    <row r="55" spans="1:15">
      <c r="A55" s="2" t="s">
        <v>104</v>
      </c>
      <c r="B55" s="7" t="s">
        <v>105</v>
      </c>
      <c r="C55" s="3" t="s">
        <v>106</v>
      </c>
      <c r="D55" s="3">
        <v>24</v>
      </c>
      <c r="E55" s="3">
        <v>145</v>
      </c>
      <c r="F55" s="3">
        <v>86</v>
      </c>
      <c r="G55" s="3" t="s">
        <v>144</v>
      </c>
      <c r="H55" s="3">
        <v>10</v>
      </c>
      <c r="I55" s="3">
        <v>10</v>
      </c>
      <c r="J55" s="3" t="s">
        <v>108</v>
      </c>
      <c r="K55" s="3" t="s">
        <v>145</v>
      </c>
      <c r="L55" s="3"/>
      <c r="M55" s="4" t="s">
        <v>21</v>
      </c>
      <c r="N55" s="3"/>
      <c r="O55" s="3"/>
    </row>
    <row r="56" spans="1:15">
      <c r="A56" s="2" t="s">
        <v>104</v>
      </c>
      <c r="B56" s="7" t="s">
        <v>105</v>
      </c>
      <c r="C56" s="3" t="s">
        <v>106</v>
      </c>
      <c r="D56" s="3">
        <v>25</v>
      </c>
      <c r="E56" s="3">
        <v>112</v>
      </c>
      <c r="F56" s="3">
        <v>101</v>
      </c>
      <c r="G56" s="3" t="s">
        <v>146</v>
      </c>
      <c r="H56" s="3">
        <v>10</v>
      </c>
      <c r="I56" s="3">
        <v>10</v>
      </c>
      <c r="J56" s="3" t="s">
        <v>108</v>
      </c>
      <c r="K56" s="3" t="s">
        <v>147</v>
      </c>
      <c r="L56" s="3"/>
      <c r="M56" s="4" t="s">
        <v>21</v>
      </c>
      <c r="N56" s="3"/>
      <c r="O56" s="3"/>
    </row>
    <row r="57" spans="1:15">
      <c r="A57" s="2" t="s">
        <v>104</v>
      </c>
      <c r="B57" s="7" t="s">
        <v>105</v>
      </c>
      <c r="C57" s="3" t="s">
        <v>106</v>
      </c>
      <c r="D57" s="3">
        <v>26</v>
      </c>
      <c r="E57" s="3">
        <v>93</v>
      </c>
      <c r="F57" s="3">
        <v>45</v>
      </c>
      <c r="G57" s="3" t="s">
        <v>148</v>
      </c>
      <c r="H57" s="3">
        <v>10</v>
      </c>
      <c r="I57" s="3">
        <v>10</v>
      </c>
      <c r="J57" s="3" t="s">
        <v>108</v>
      </c>
      <c r="K57" s="3" t="s">
        <v>149</v>
      </c>
      <c r="L57" s="3"/>
      <c r="M57" s="4" t="s">
        <v>21</v>
      </c>
      <c r="N57" s="3"/>
      <c r="O57" s="3"/>
    </row>
    <row r="58" spans="1:15">
      <c r="A58" s="2" t="s">
        <v>104</v>
      </c>
      <c r="B58" s="7" t="s">
        <v>105</v>
      </c>
      <c r="C58" s="3" t="s">
        <v>106</v>
      </c>
      <c r="D58" s="3">
        <v>27</v>
      </c>
      <c r="E58" s="3">
        <v>270</v>
      </c>
      <c r="F58" s="3">
        <v>24</v>
      </c>
      <c r="G58" s="3" t="s">
        <v>150</v>
      </c>
      <c r="H58" s="3">
        <v>10</v>
      </c>
      <c r="I58" s="3">
        <v>10</v>
      </c>
      <c r="J58" s="3" t="s">
        <v>108</v>
      </c>
      <c r="K58" s="3" t="s">
        <v>116</v>
      </c>
      <c r="L58" s="3"/>
      <c r="M58" s="4" t="s">
        <v>21</v>
      </c>
      <c r="N58" s="3"/>
      <c r="O58" s="3"/>
    </row>
    <row r="59" spans="1:15">
      <c r="A59" s="2" t="s">
        <v>104</v>
      </c>
      <c r="B59" s="7" t="s">
        <v>105</v>
      </c>
      <c r="C59" s="3" t="s">
        <v>106</v>
      </c>
      <c r="D59" s="3">
        <v>28</v>
      </c>
      <c r="E59" s="3">
        <v>146</v>
      </c>
      <c r="F59" s="3">
        <v>116</v>
      </c>
      <c r="G59" s="3" t="s">
        <v>151</v>
      </c>
      <c r="H59" s="3">
        <v>10</v>
      </c>
      <c r="I59" s="3">
        <v>10</v>
      </c>
      <c r="J59" s="3" t="s">
        <v>108</v>
      </c>
      <c r="K59" s="3" t="s">
        <v>79</v>
      </c>
      <c r="L59" s="3"/>
      <c r="M59" s="4" t="s">
        <v>21</v>
      </c>
      <c r="N59" s="3"/>
      <c r="O59" s="3"/>
    </row>
    <row r="60" spans="1:15">
      <c r="A60" s="2" t="s">
        <v>104</v>
      </c>
      <c r="B60" s="7" t="s">
        <v>105</v>
      </c>
      <c r="C60" s="3" t="s">
        <v>106</v>
      </c>
      <c r="D60" s="3">
        <v>29</v>
      </c>
      <c r="E60" s="3">
        <v>86</v>
      </c>
      <c r="F60" s="3">
        <v>56</v>
      </c>
      <c r="G60" s="3" t="s">
        <v>152</v>
      </c>
      <c r="H60" s="3">
        <v>10</v>
      </c>
      <c r="I60" s="3">
        <v>10</v>
      </c>
      <c r="J60" s="3" t="s">
        <v>108</v>
      </c>
      <c r="K60" s="3" t="s">
        <v>153</v>
      </c>
      <c r="L60" s="3"/>
      <c r="M60" s="4" t="s">
        <v>21</v>
      </c>
      <c r="N60" s="3"/>
      <c r="O60" s="3"/>
    </row>
    <row r="61" spans="1:15" s="11" customFormat="1">
      <c r="A61" s="2" t="s">
        <v>104</v>
      </c>
      <c r="B61" s="7" t="s">
        <v>105</v>
      </c>
      <c r="C61" s="9" t="s">
        <v>106</v>
      </c>
      <c r="D61" s="9">
        <v>30</v>
      </c>
      <c r="E61" s="9">
        <v>132</v>
      </c>
      <c r="F61" s="9">
        <v>107</v>
      </c>
      <c r="G61" s="9" t="s">
        <v>154</v>
      </c>
      <c r="H61" s="9">
        <v>10</v>
      </c>
      <c r="I61" s="9">
        <v>10</v>
      </c>
      <c r="J61" s="9" t="s">
        <v>108</v>
      </c>
      <c r="K61" s="9" t="s">
        <v>155</v>
      </c>
      <c r="L61" s="9"/>
      <c r="M61" s="10" t="s">
        <v>21</v>
      </c>
      <c r="N61" s="9"/>
      <c r="O61" s="9"/>
    </row>
    <row r="62" spans="1:15">
      <c r="A62" s="2" t="s">
        <v>104</v>
      </c>
      <c r="B62" s="7" t="s">
        <v>105</v>
      </c>
      <c r="C62" s="3" t="s">
        <v>106</v>
      </c>
      <c r="D62" s="3">
        <v>31</v>
      </c>
      <c r="E62" s="3">
        <v>104</v>
      </c>
      <c r="F62" s="3">
        <v>35</v>
      </c>
      <c r="G62" s="3" t="s">
        <v>156</v>
      </c>
      <c r="H62" s="3">
        <v>10</v>
      </c>
      <c r="I62" s="3">
        <v>10</v>
      </c>
      <c r="J62" s="3" t="s">
        <v>108</v>
      </c>
      <c r="K62" s="3" t="s">
        <v>157</v>
      </c>
      <c r="L62" s="3"/>
      <c r="M62" s="4" t="s">
        <v>21</v>
      </c>
      <c r="N62" s="3"/>
      <c r="O62" s="3"/>
    </row>
    <row r="63" spans="1:15">
      <c r="A63" s="2" t="s">
        <v>104</v>
      </c>
      <c r="B63" s="7" t="s">
        <v>105</v>
      </c>
      <c r="C63" s="3" t="s">
        <v>106</v>
      </c>
      <c r="D63" s="3">
        <v>32</v>
      </c>
      <c r="E63" s="3">
        <v>134</v>
      </c>
      <c r="F63" s="3">
        <v>141</v>
      </c>
      <c r="G63" s="3" t="s">
        <v>158</v>
      </c>
      <c r="H63" s="3">
        <v>10</v>
      </c>
      <c r="I63" s="3">
        <v>10</v>
      </c>
      <c r="J63" s="3" t="s">
        <v>108</v>
      </c>
      <c r="K63" s="3" t="s">
        <v>133</v>
      </c>
      <c r="L63" s="3"/>
      <c r="M63" s="4" t="s">
        <v>21</v>
      </c>
      <c r="N63" s="3"/>
      <c r="O63" s="3"/>
    </row>
    <row r="64" spans="1:15">
      <c r="A64" s="2" t="s">
        <v>104</v>
      </c>
      <c r="B64" s="7" t="s">
        <v>105</v>
      </c>
      <c r="C64" s="3" t="s">
        <v>106</v>
      </c>
      <c r="D64" s="3">
        <v>33</v>
      </c>
      <c r="E64" s="3">
        <v>142</v>
      </c>
      <c r="F64" s="3">
        <v>216</v>
      </c>
      <c r="G64" s="3" t="s">
        <v>159</v>
      </c>
      <c r="H64" s="3">
        <v>10</v>
      </c>
      <c r="I64" s="3">
        <v>10</v>
      </c>
      <c r="J64" s="3" t="s">
        <v>108</v>
      </c>
      <c r="K64" s="3" t="s">
        <v>110</v>
      </c>
      <c r="L64" s="3"/>
      <c r="M64" s="4" t="s">
        <v>21</v>
      </c>
      <c r="N64" s="3"/>
      <c r="O64" s="3"/>
    </row>
    <row r="65" spans="1:15">
      <c r="A65" s="2" t="s">
        <v>104</v>
      </c>
      <c r="B65" s="7" t="s">
        <v>105</v>
      </c>
      <c r="C65" s="3" t="s">
        <v>106</v>
      </c>
      <c r="D65" s="3">
        <v>34</v>
      </c>
      <c r="E65" s="3">
        <v>110</v>
      </c>
      <c r="F65" s="3">
        <v>84</v>
      </c>
      <c r="G65" s="3" t="s">
        <v>115</v>
      </c>
      <c r="H65" s="3">
        <v>10</v>
      </c>
      <c r="I65" s="3">
        <v>10</v>
      </c>
      <c r="J65" s="3" t="s">
        <v>108</v>
      </c>
      <c r="K65" s="3" t="s">
        <v>128</v>
      </c>
      <c r="L65" s="3"/>
      <c r="M65" s="4" t="s">
        <v>21</v>
      </c>
      <c r="N65" s="3"/>
      <c r="O65" s="3"/>
    </row>
    <row r="66" spans="1:15">
      <c r="A66" s="2" t="s">
        <v>104</v>
      </c>
      <c r="B66" s="7" t="s">
        <v>105</v>
      </c>
      <c r="C66" s="3" t="s">
        <v>106</v>
      </c>
      <c r="D66" s="3">
        <v>35</v>
      </c>
      <c r="E66" s="3">
        <v>98</v>
      </c>
      <c r="F66" s="3">
        <v>51</v>
      </c>
      <c r="G66" s="3" t="s">
        <v>160</v>
      </c>
      <c r="H66" s="3">
        <v>10</v>
      </c>
      <c r="I66" s="3">
        <v>10</v>
      </c>
      <c r="J66" s="3" t="s">
        <v>108</v>
      </c>
      <c r="K66" s="3" t="s">
        <v>161</v>
      </c>
      <c r="L66" s="3"/>
      <c r="M66" s="4" t="s">
        <v>21</v>
      </c>
      <c r="N66" s="3"/>
      <c r="O66" s="3"/>
    </row>
    <row r="67" spans="1:15">
      <c r="A67" s="2" t="s">
        <v>104</v>
      </c>
      <c r="B67" s="7" t="s">
        <v>105</v>
      </c>
      <c r="C67" s="3" t="s">
        <v>106</v>
      </c>
      <c r="D67" s="3">
        <v>36</v>
      </c>
      <c r="E67" s="3">
        <v>162</v>
      </c>
      <c r="F67" s="3">
        <v>64</v>
      </c>
      <c r="G67" s="3" t="s">
        <v>162</v>
      </c>
      <c r="H67" s="3">
        <v>10</v>
      </c>
      <c r="I67" s="3">
        <v>10</v>
      </c>
      <c r="J67" s="3" t="s">
        <v>108</v>
      </c>
      <c r="K67" s="3" t="s">
        <v>121</v>
      </c>
      <c r="L67" s="3"/>
      <c r="M67" s="4" t="s">
        <v>21</v>
      </c>
      <c r="N67" s="3"/>
      <c r="O67" s="3"/>
    </row>
    <row r="68" spans="1:15">
      <c r="A68" s="2" t="s">
        <v>104</v>
      </c>
      <c r="B68" s="7" t="s">
        <v>105</v>
      </c>
      <c r="C68" s="3" t="s">
        <v>106</v>
      </c>
      <c r="D68" s="3">
        <v>37</v>
      </c>
      <c r="E68" s="3">
        <v>226</v>
      </c>
      <c r="F68" s="3">
        <v>117</v>
      </c>
      <c r="G68" s="3" t="s">
        <v>163</v>
      </c>
      <c r="H68" s="3">
        <v>10</v>
      </c>
      <c r="I68" s="3">
        <v>10</v>
      </c>
      <c r="J68" s="3" t="s">
        <v>108</v>
      </c>
      <c r="K68" s="3" t="s">
        <v>55</v>
      </c>
      <c r="L68" s="3"/>
      <c r="M68" s="4" t="s">
        <v>21</v>
      </c>
      <c r="N68" s="3"/>
      <c r="O68" s="3"/>
    </row>
    <row r="69" spans="1:15">
      <c r="A69" s="2" t="s">
        <v>104</v>
      </c>
      <c r="B69" s="7" t="s">
        <v>105</v>
      </c>
      <c r="C69" s="3" t="s">
        <v>106</v>
      </c>
      <c r="D69" s="3">
        <v>38</v>
      </c>
      <c r="E69" s="3">
        <v>114</v>
      </c>
      <c r="F69" s="3">
        <v>41</v>
      </c>
      <c r="G69" s="3" t="s">
        <v>164</v>
      </c>
      <c r="H69" s="3">
        <v>10</v>
      </c>
      <c r="I69" s="3">
        <v>10</v>
      </c>
      <c r="J69" s="3" t="s">
        <v>108</v>
      </c>
      <c r="K69" s="3" t="s">
        <v>69</v>
      </c>
      <c r="L69" s="3"/>
      <c r="M69" s="4" t="s">
        <v>21</v>
      </c>
      <c r="N69" s="3"/>
      <c r="O69" s="3"/>
    </row>
    <row r="70" spans="1:15">
      <c r="A70" s="2" t="s">
        <v>104</v>
      </c>
      <c r="B70" s="7" t="s">
        <v>105</v>
      </c>
      <c r="C70" s="3" t="s">
        <v>106</v>
      </c>
      <c r="D70" s="3">
        <v>39</v>
      </c>
      <c r="E70" s="3">
        <v>110</v>
      </c>
      <c r="F70" s="3">
        <v>93</v>
      </c>
      <c r="G70" s="3" t="s">
        <v>165</v>
      </c>
      <c r="H70" s="3">
        <v>10</v>
      </c>
      <c r="I70" s="3">
        <v>10</v>
      </c>
      <c r="J70" s="3" t="s">
        <v>108</v>
      </c>
      <c r="K70" s="3" t="s">
        <v>149</v>
      </c>
      <c r="L70" s="3"/>
      <c r="M70" s="4" t="s">
        <v>21</v>
      </c>
      <c r="N70" s="3"/>
      <c r="O70" s="3"/>
    </row>
    <row r="71" spans="1:15">
      <c r="A71" s="2" t="s">
        <v>104</v>
      </c>
      <c r="B71" s="7" t="s">
        <v>105</v>
      </c>
      <c r="C71" s="3" t="s">
        <v>106</v>
      </c>
      <c r="D71" s="3">
        <v>40</v>
      </c>
      <c r="E71" s="3">
        <v>116</v>
      </c>
      <c r="F71" s="3">
        <v>70</v>
      </c>
      <c r="G71" s="3" t="s">
        <v>166</v>
      </c>
      <c r="H71" s="3">
        <v>10</v>
      </c>
      <c r="I71" s="3">
        <v>10</v>
      </c>
      <c r="J71" s="3" t="s">
        <v>108</v>
      </c>
      <c r="K71" s="3" t="s">
        <v>153</v>
      </c>
      <c r="L71" s="3"/>
      <c r="M71" s="4" t="s">
        <v>21</v>
      </c>
      <c r="N71" s="3"/>
      <c r="O71" s="3"/>
    </row>
    <row r="72" spans="1:15">
      <c r="A72" s="2" t="s">
        <v>104</v>
      </c>
      <c r="B72" s="7" t="s">
        <v>105</v>
      </c>
      <c r="C72" s="3" t="s">
        <v>106</v>
      </c>
      <c r="D72" s="3">
        <v>41</v>
      </c>
      <c r="E72" s="3">
        <v>110</v>
      </c>
      <c r="F72" s="3">
        <v>94</v>
      </c>
      <c r="G72" s="3" t="s">
        <v>167</v>
      </c>
      <c r="H72" s="3">
        <v>10</v>
      </c>
      <c r="I72" s="3">
        <v>10</v>
      </c>
      <c r="J72" s="3" t="s">
        <v>108</v>
      </c>
      <c r="K72" s="3" t="s">
        <v>168</v>
      </c>
      <c r="L72" s="3"/>
      <c r="M72" s="4" t="s">
        <v>21</v>
      </c>
      <c r="N72" s="3"/>
      <c r="O72" s="3"/>
    </row>
    <row r="73" spans="1:15">
      <c r="A73" s="2" t="s">
        <v>104</v>
      </c>
      <c r="B73" s="7" t="s">
        <v>105</v>
      </c>
      <c r="C73" s="3" t="s">
        <v>106</v>
      </c>
      <c r="D73" s="3">
        <v>42</v>
      </c>
      <c r="E73" s="3">
        <v>115</v>
      </c>
      <c r="F73" s="3">
        <v>59</v>
      </c>
      <c r="G73" s="3" t="s">
        <v>169</v>
      </c>
      <c r="H73" s="3">
        <v>10</v>
      </c>
      <c r="I73" s="3">
        <v>10</v>
      </c>
      <c r="J73" s="3" t="s">
        <v>108</v>
      </c>
      <c r="K73" s="3" t="s">
        <v>49</v>
      </c>
      <c r="L73" s="3"/>
      <c r="M73" s="4" t="s">
        <v>21</v>
      </c>
      <c r="N73" s="3"/>
      <c r="O73" s="3"/>
    </row>
    <row r="74" spans="1:15">
      <c r="A74" s="2" t="s">
        <v>104</v>
      </c>
      <c r="B74" s="7" t="s">
        <v>105</v>
      </c>
      <c r="C74" s="3" t="s">
        <v>106</v>
      </c>
      <c r="D74" s="3">
        <v>43</v>
      </c>
      <c r="E74" s="3">
        <v>168</v>
      </c>
      <c r="F74" s="3">
        <v>125</v>
      </c>
      <c r="G74" s="3" t="s">
        <v>170</v>
      </c>
      <c r="H74" s="3">
        <v>10</v>
      </c>
      <c r="I74" s="3">
        <v>10</v>
      </c>
      <c r="J74" s="3" t="s">
        <v>108</v>
      </c>
      <c r="K74" s="3" t="s">
        <v>171</v>
      </c>
      <c r="L74" s="3"/>
      <c r="M74" s="4" t="s">
        <v>21</v>
      </c>
      <c r="N74" s="3"/>
      <c r="O74" s="3"/>
    </row>
    <row r="75" spans="1:15">
      <c r="A75" s="2" t="s">
        <v>104</v>
      </c>
      <c r="B75" s="7" t="s">
        <v>105</v>
      </c>
      <c r="C75" s="3" t="s">
        <v>106</v>
      </c>
      <c r="D75" s="3">
        <v>44</v>
      </c>
      <c r="E75" s="3">
        <v>67</v>
      </c>
      <c r="F75" s="3">
        <v>72</v>
      </c>
      <c r="G75" s="3" t="s">
        <v>172</v>
      </c>
      <c r="H75" s="3">
        <v>10</v>
      </c>
      <c r="I75" s="3">
        <v>10</v>
      </c>
      <c r="J75" s="3" t="s">
        <v>108</v>
      </c>
      <c r="K75" s="3" t="s">
        <v>173</v>
      </c>
      <c r="L75" s="3"/>
      <c r="M75" s="4" t="s">
        <v>21</v>
      </c>
      <c r="N75" s="3"/>
      <c r="O75" s="3"/>
    </row>
    <row r="76" spans="1:15">
      <c r="A76" s="2" t="s">
        <v>104</v>
      </c>
      <c r="B76" s="7" t="s">
        <v>105</v>
      </c>
      <c r="C76" s="3" t="s">
        <v>106</v>
      </c>
      <c r="D76" s="3">
        <v>45</v>
      </c>
      <c r="E76" s="3">
        <v>132</v>
      </c>
      <c r="F76" s="3">
        <v>75</v>
      </c>
      <c r="G76" s="3">
        <v>19</v>
      </c>
      <c r="H76" s="3">
        <v>10</v>
      </c>
      <c r="I76" s="3">
        <v>10</v>
      </c>
      <c r="J76" s="3" t="s">
        <v>108</v>
      </c>
      <c r="K76" s="3" t="s">
        <v>147</v>
      </c>
      <c r="L76" s="3"/>
      <c r="M76" s="4" t="s">
        <v>21</v>
      </c>
      <c r="N76" s="3"/>
      <c r="O76" s="3"/>
    </row>
    <row r="77" spans="1:15">
      <c r="A77" s="2" t="s">
        <v>104</v>
      </c>
      <c r="B77" s="7" t="s">
        <v>105</v>
      </c>
      <c r="C77" s="3" t="s">
        <v>106</v>
      </c>
      <c r="D77" s="3">
        <v>46</v>
      </c>
      <c r="E77" s="3">
        <v>126</v>
      </c>
      <c r="F77" s="3">
        <v>11</v>
      </c>
      <c r="G77" s="3" t="s">
        <v>174</v>
      </c>
      <c r="H77" s="3">
        <v>10</v>
      </c>
      <c r="I77" s="3">
        <v>10</v>
      </c>
      <c r="J77" s="3" t="s">
        <v>108</v>
      </c>
      <c r="K77" s="3" t="s">
        <v>153</v>
      </c>
      <c r="L77" s="3"/>
      <c r="M77" s="4" t="s">
        <v>21</v>
      </c>
      <c r="N77" s="3"/>
      <c r="O77" s="3"/>
    </row>
    <row r="78" spans="1:15">
      <c r="A78" s="2" t="s">
        <v>104</v>
      </c>
      <c r="B78" s="7" t="s">
        <v>105</v>
      </c>
      <c r="C78" s="3" t="s">
        <v>106</v>
      </c>
      <c r="D78" s="3">
        <v>47</v>
      </c>
      <c r="E78" s="3">
        <v>105</v>
      </c>
      <c r="F78" s="3">
        <v>106</v>
      </c>
      <c r="G78" s="3" t="s">
        <v>175</v>
      </c>
      <c r="H78" s="3">
        <v>10</v>
      </c>
      <c r="I78" s="3">
        <v>10</v>
      </c>
      <c r="J78" s="3" t="s">
        <v>108</v>
      </c>
      <c r="K78" s="3" t="s">
        <v>176</v>
      </c>
      <c r="L78" s="3"/>
      <c r="M78" s="4" t="s">
        <v>21</v>
      </c>
      <c r="N78" s="3"/>
      <c r="O78" s="3"/>
    </row>
    <row r="79" spans="1:15">
      <c r="A79" s="2" t="s">
        <v>104</v>
      </c>
      <c r="B79" s="7" t="s">
        <v>105</v>
      </c>
      <c r="C79" s="3" t="s">
        <v>106</v>
      </c>
      <c r="D79" s="3">
        <v>48</v>
      </c>
      <c r="E79" s="3">
        <v>140</v>
      </c>
      <c r="F79" s="3">
        <v>124</v>
      </c>
      <c r="G79" s="3" t="s">
        <v>177</v>
      </c>
      <c r="H79" s="3">
        <v>10</v>
      </c>
      <c r="I79" s="3">
        <v>10</v>
      </c>
      <c r="J79" s="3" t="s">
        <v>108</v>
      </c>
      <c r="K79" s="3" t="s">
        <v>178</v>
      </c>
      <c r="L79" s="3"/>
      <c r="M79" s="4" t="s">
        <v>21</v>
      </c>
      <c r="N79" s="3"/>
      <c r="O79" s="3"/>
    </row>
    <row r="80" spans="1:15">
      <c r="A80" s="2" t="s">
        <v>104</v>
      </c>
      <c r="B80" s="7" t="s">
        <v>105</v>
      </c>
      <c r="C80" s="3" t="s">
        <v>106</v>
      </c>
      <c r="D80" s="3">
        <v>49</v>
      </c>
      <c r="E80" s="3">
        <v>137</v>
      </c>
      <c r="F80" s="3">
        <v>202</v>
      </c>
      <c r="G80" s="3" t="s">
        <v>93</v>
      </c>
      <c r="H80" s="3">
        <v>10</v>
      </c>
      <c r="I80" s="3">
        <v>10</v>
      </c>
      <c r="J80" s="3" t="s">
        <v>108</v>
      </c>
      <c r="K80" s="3" t="s">
        <v>49</v>
      </c>
      <c r="L80" s="3"/>
      <c r="M80" s="4" t="s">
        <v>21</v>
      </c>
      <c r="N80" s="3"/>
      <c r="O80" s="3"/>
    </row>
    <row r="81" spans="1:15">
      <c r="A81" s="2" t="s">
        <v>104</v>
      </c>
      <c r="B81" s="7" t="s">
        <v>105</v>
      </c>
      <c r="C81" s="3" t="s">
        <v>106</v>
      </c>
      <c r="D81" s="3">
        <v>50</v>
      </c>
      <c r="E81" s="3">
        <v>102</v>
      </c>
      <c r="F81" s="3">
        <v>54</v>
      </c>
      <c r="G81" s="3" t="s">
        <v>179</v>
      </c>
      <c r="H81" s="3">
        <v>10</v>
      </c>
      <c r="I81" s="3">
        <v>10</v>
      </c>
      <c r="J81" s="3" t="s">
        <v>108</v>
      </c>
      <c r="K81" s="3" t="s">
        <v>145</v>
      </c>
      <c r="L81" s="3"/>
      <c r="M81" s="4" t="s">
        <v>21</v>
      </c>
      <c r="N81" s="3"/>
      <c r="O81" s="3"/>
    </row>
    <row r="82" spans="1:15">
      <c r="A82" s="2" t="s">
        <v>180</v>
      </c>
      <c r="B82" s="4" t="s">
        <v>181</v>
      </c>
      <c r="C82" s="3" t="s">
        <v>182</v>
      </c>
      <c r="D82" s="3">
        <v>1</v>
      </c>
      <c r="E82" s="3">
        <v>96</v>
      </c>
      <c r="F82" s="3">
        <v>56</v>
      </c>
      <c r="G82" s="3" t="s">
        <v>183</v>
      </c>
      <c r="H82" s="3">
        <v>10</v>
      </c>
      <c r="I82" s="3">
        <v>8</v>
      </c>
      <c r="J82" s="3">
        <v>9</v>
      </c>
      <c r="K82" s="3" t="s">
        <v>133</v>
      </c>
      <c r="L82" s="4" t="s">
        <v>21</v>
      </c>
      <c r="M82" s="3"/>
      <c r="N82" s="3"/>
      <c r="O82" s="3"/>
    </row>
    <row r="83" spans="1:15">
      <c r="A83" s="2" t="s">
        <v>180</v>
      </c>
      <c r="B83" s="4" t="s">
        <v>181</v>
      </c>
      <c r="C83" s="3" t="s">
        <v>182</v>
      </c>
      <c r="D83" s="3">
        <v>2</v>
      </c>
      <c r="E83" s="3">
        <v>123</v>
      </c>
      <c r="F83" s="3">
        <v>83</v>
      </c>
      <c r="G83" s="3" t="s">
        <v>184</v>
      </c>
      <c r="H83" s="3">
        <v>10</v>
      </c>
      <c r="I83" s="3">
        <v>8</v>
      </c>
      <c r="J83" s="3">
        <v>9</v>
      </c>
      <c r="K83" s="3" t="s">
        <v>110</v>
      </c>
      <c r="L83" s="4" t="s">
        <v>21</v>
      </c>
      <c r="M83" s="3"/>
      <c r="N83" s="3"/>
      <c r="O83" s="3"/>
    </row>
    <row r="84" spans="1:15">
      <c r="A84" s="2" t="s">
        <v>180</v>
      </c>
      <c r="B84" s="4" t="s">
        <v>181</v>
      </c>
      <c r="C84" s="3" t="s">
        <v>182</v>
      </c>
      <c r="D84" s="3">
        <v>3</v>
      </c>
      <c r="E84" s="3">
        <v>154</v>
      </c>
      <c r="F84" s="3">
        <v>73</v>
      </c>
      <c r="G84" s="3" t="s">
        <v>185</v>
      </c>
      <c r="H84" s="3">
        <v>10</v>
      </c>
      <c r="I84" s="3">
        <v>8</v>
      </c>
      <c r="J84" s="3">
        <v>9</v>
      </c>
      <c r="K84" s="3" t="s">
        <v>133</v>
      </c>
      <c r="L84" s="4" t="s">
        <v>21</v>
      </c>
      <c r="M84" s="3"/>
      <c r="N84" s="3"/>
      <c r="O84" s="3"/>
    </row>
    <row r="85" spans="1:15">
      <c r="A85" s="2" t="s">
        <v>180</v>
      </c>
      <c r="B85" s="4" t="s">
        <v>181</v>
      </c>
      <c r="C85" s="3" t="s">
        <v>182</v>
      </c>
      <c r="D85" s="3">
        <v>4</v>
      </c>
      <c r="E85" s="3">
        <v>187</v>
      </c>
      <c r="F85" s="3">
        <v>178</v>
      </c>
      <c r="G85" s="3" t="s">
        <v>186</v>
      </c>
      <c r="H85" s="3">
        <v>10</v>
      </c>
      <c r="I85" s="3">
        <v>8</v>
      </c>
      <c r="J85" s="3">
        <v>9</v>
      </c>
      <c r="K85" s="3" t="s">
        <v>187</v>
      </c>
      <c r="L85" s="4" t="s">
        <v>21</v>
      </c>
      <c r="M85" s="3"/>
      <c r="N85" s="3"/>
      <c r="O85" s="3"/>
    </row>
    <row r="86" spans="1:15">
      <c r="A86" s="2" t="s">
        <v>180</v>
      </c>
      <c r="B86" s="4" t="s">
        <v>181</v>
      </c>
      <c r="C86" s="3" t="s">
        <v>182</v>
      </c>
      <c r="D86" s="3">
        <v>5</v>
      </c>
      <c r="E86" s="3">
        <v>100</v>
      </c>
      <c r="F86" s="3">
        <v>79</v>
      </c>
      <c r="G86" s="3" t="s">
        <v>188</v>
      </c>
      <c r="H86" s="3">
        <v>10</v>
      </c>
      <c r="I86" s="3">
        <v>8</v>
      </c>
      <c r="J86" s="3">
        <v>9</v>
      </c>
      <c r="K86" s="3" t="s">
        <v>189</v>
      </c>
      <c r="L86" s="4" t="s">
        <v>21</v>
      </c>
      <c r="M86" s="3"/>
      <c r="N86" s="3"/>
      <c r="O86" s="3"/>
    </row>
    <row r="87" spans="1:15">
      <c r="A87" s="2" t="s">
        <v>180</v>
      </c>
      <c r="B87" s="4" t="s">
        <v>181</v>
      </c>
      <c r="C87" s="3" t="s">
        <v>182</v>
      </c>
      <c r="D87" s="3">
        <v>6</v>
      </c>
      <c r="E87" s="3">
        <v>234</v>
      </c>
      <c r="F87" s="3">
        <v>213</v>
      </c>
      <c r="G87" s="3" t="s">
        <v>190</v>
      </c>
      <c r="H87" s="3">
        <v>10</v>
      </c>
      <c r="I87" s="3">
        <v>8</v>
      </c>
      <c r="J87" s="3">
        <v>9</v>
      </c>
      <c r="K87" s="3" t="s">
        <v>110</v>
      </c>
      <c r="L87" s="4" t="s">
        <v>21</v>
      </c>
      <c r="M87" s="3"/>
      <c r="N87" s="3"/>
      <c r="O87" s="3"/>
    </row>
    <row r="88" spans="1:15">
      <c r="A88" s="2" t="s">
        <v>180</v>
      </c>
      <c r="B88" s="4" t="s">
        <v>181</v>
      </c>
      <c r="C88" s="3" t="s">
        <v>182</v>
      </c>
      <c r="D88" s="3">
        <v>7</v>
      </c>
      <c r="E88" s="3">
        <v>137</v>
      </c>
      <c r="F88" s="3">
        <v>98</v>
      </c>
      <c r="G88" s="3" t="s">
        <v>191</v>
      </c>
      <c r="H88" s="3">
        <v>10</v>
      </c>
      <c r="I88" s="3">
        <v>8</v>
      </c>
      <c r="J88" s="3">
        <v>9</v>
      </c>
      <c r="K88" s="3" t="s">
        <v>133</v>
      </c>
      <c r="L88" s="4" t="s">
        <v>21</v>
      </c>
      <c r="M88" s="3"/>
      <c r="N88" s="3"/>
      <c r="O88" s="3"/>
    </row>
    <row r="89" spans="1:15">
      <c r="A89" s="2" t="s">
        <v>180</v>
      </c>
      <c r="B89" s="4" t="s">
        <v>181</v>
      </c>
      <c r="C89" s="3" t="s">
        <v>182</v>
      </c>
      <c r="D89" s="3">
        <v>8</v>
      </c>
      <c r="E89" s="3">
        <v>117</v>
      </c>
      <c r="F89" s="3">
        <v>88</v>
      </c>
      <c r="G89" s="3" t="s">
        <v>192</v>
      </c>
      <c r="H89" s="3">
        <v>10</v>
      </c>
      <c r="I89" s="3">
        <v>8</v>
      </c>
      <c r="J89" s="3">
        <v>9</v>
      </c>
      <c r="K89" s="3" t="s">
        <v>153</v>
      </c>
      <c r="L89" s="4" t="s">
        <v>21</v>
      </c>
      <c r="M89" s="3"/>
      <c r="N89" s="3"/>
      <c r="O89" s="3"/>
    </row>
    <row r="90" spans="1:15">
      <c r="A90" s="2" t="s">
        <v>180</v>
      </c>
      <c r="B90" s="4" t="s">
        <v>181</v>
      </c>
      <c r="C90" s="3" t="s">
        <v>182</v>
      </c>
      <c r="D90" s="3">
        <v>9</v>
      </c>
      <c r="E90" s="3">
        <v>130</v>
      </c>
      <c r="F90" s="3">
        <v>93</v>
      </c>
      <c r="G90" s="3" t="s">
        <v>193</v>
      </c>
      <c r="H90" s="3">
        <v>10</v>
      </c>
      <c r="I90" s="3">
        <v>8</v>
      </c>
      <c r="J90" s="3">
        <v>9</v>
      </c>
      <c r="K90" s="3" t="s">
        <v>110</v>
      </c>
      <c r="L90" s="4" t="s">
        <v>21</v>
      </c>
      <c r="M90" s="3"/>
      <c r="N90" s="3"/>
      <c r="O90" s="3"/>
    </row>
    <row r="91" spans="1:15">
      <c r="A91" s="2" t="s">
        <v>180</v>
      </c>
      <c r="B91" s="4" t="s">
        <v>181</v>
      </c>
      <c r="C91" s="3" t="s">
        <v>182</v>
      </c>
      <c r="D91" s="3">
        <v>10</v>
      </c>
      <c r="E91" s="3">
        <v>160</v>
      </c>
      <c r="F91" s="3">
        <v>127</v>
      </c>
      <c r="G91" s="3" t="s">
        <v>194</v>
      </c>
      <c r="H91" s="3">
        <v>10</v>
      </c>
      <c r="I91" s="3">
        <v>8</v>
      </c>
      <c r="J91" s="3">
        <v>9</v>
      </c>
      <c r="K91" s="3" t="s">
        <v>195</v>
      </c>
      <c r="L91" s="4" t="s">
        <v>21</v>
      </c>
      <c r="M91" s="3"/>
      <c r="N91" s="3"/>
      <c r="O91" s="3"/>
    </row>
    <row r="92" spans="1:15">
      <c r="A92" s="2" t="s">
        <v>180</v>
      </c>
      <c r="B92" s="4" t="s">
        <v>181</v>
      </c>
      <c r="C92" s="3" t="s">
        <v>196</v>
      </c>
      <c r="D92" s="3">
        <v>11</v>
      </c>
      <c r="E92" s="3">
        <v>109</v>
      </c>
      <c r="F92" s="3">
        <v>111</v>
      </c>
      <c r="G92" s="3" t="s">
        <v>197</v>
      </c>
      <c r="H92" s="3">
        <v>10</v>
      </c>
      <c r="I92" s="3">
        <v>8</v>
      </c>
      <c r="J92" s="3">
        <v>9</v>
      </c>
      <c r="K92" s="3" t="s">
        <v>198</v>
      </c>
      <c r="L92" s="4" t="s">
        <v>21</v>
      </c>
      <c r="M92" s="3"/>
      <c r="N92" s="3"/>
      <c r="O92" s="3"/>
    </row>
    <row r="93" spans="1:15">
      <c r="A93" s="2" t="s">
        <v>180</v>
      </c>
      <c r="B93" s="4" t="s">
        <v>181</v>
      </c>
      <c r="C93" s="3" t="s">
        <v>196</v>
      </c>
      <c r="D93" s="3">
        <v>12</v>
      </c>
      <c r="E93" s="3">
        <v>201</v>
      </c>
      <c r="F93" s="3">
        <v>131</v>
      </c>
      <c r="G93" s="3" t="s">
        <v>99</v>
      </c>
      <c r="H93" s="3">
        <v>10</v>
      </c>
      <c r="I93" s="3">
        <v>8</v>
      </c>
      <c r="J93" s="3">
        <v>9</v>
      </c>
      <c r="K93" s="3" t="s">
        <v>103</v>
      </c>
      <c r="L93" s="4" t="s">
        <v>21</v>
      </c>
      <c r="M93" s="3"/>
      <c r="N93" s="3"/>
      <c r="O93" s="3"/>
    </row>
    <row r="94" spans="1:15">
      <c r="A94" s="2" t="s">
        <v>180</v>
      </c>
      <c r="B94" s="4" t="s">
        <v>181</v>
      </c>
      <c r="C94" s="3" t="s">
        <v>196</v>
      </c>
      <c r="D94" s="3">
        <v>13</v>
      </c>
      <c r="E94" s="3">
        <v>125</v>
      </c>
      <c r="F94" s="3">
        <v>103</v>
      </c>
      <c r="G94" s="3" t="s">
        <v>199</v>
      </c>
      <c r="H94" s="3">
        <v>10</v>
      </c>
      <c r="I94" s="3">
        <v>8</v>
      </c>
      <c r="J94" s="3">
        <v>9</v>
      </c>
      <c r="K94" s="3" t="s">
        <v>114</v>
      </c>
      <c r="L94" s="4" t="s">
        <v>21</v>
      </c>
      <c r="M94" s="3"/>
      <c r="N94" s="3"/>
      <c r="O94" s="3"/>
    </row>
    <row r="95" spans="1:15">
      <c r="A95" s="2" t="s">
        <v>180</v>
      </c>
      <c r="B95" s="4" t="s">
        <v>181</v>
      </c>
      <c r="C95" s="3" t="s">
        <v>196</v>
      </c>
      <c r="D95" s="3">
        <v>14</v>
      </c>
      <c r="E95" s="3">
        <v>151</v>
      </c>
      <c r="F95" s="3">
        <v>68</v>
      </c>
      <c r="G95" s="3" t="s">
        <v>200</v>
      </c>
      <c r="H95" s="3">
        <v>10</v>
      </c>
      <c r="I95" s="3">
        <v>8</v>
      </c>
      <c r="J95" s="3">
        <v>9</v>
      </c>
      <c r="K95" s="3" t="s">
        <v>116</v>
      </c>
      <c r="L95" s="4" t="s">
        <v>21</v>
      </c>
      <c r="M95" s="3"/>
      <c r="N95" s="3"/>
      <c r="O95" s="3"/>
    </row>
    <row r="96" spans="1:15">
      <c r="A96" s="2" t="s">
        <v>180</v>
      </c>
      <c r="B96" s="4" t="s">
        <v>181</v>
      </c>
      <c r="C96" s="3" t="s">
        <v>196</v>
      </c>
      <c r="D96" s="3">
        <v>15</v>
      </c>
      <c r="E96" s="3">
        <v>139</v>
      </c>
      <c r="F96" s="3">
        <v>92</v>
      </c>
      <c r="G96" s="3" t="s">
        <v>201</v>
      </c>
      <c r="H96" s="3">
        <v>10</v>
      </c>
      <c r="I96" s="3">
        <v>8</v>
      </c>
      <c r="J96" s="3">
        <v>9</v>
      </c>
      <c r="K96" s="3" t="s">
        <v>114</v>
      </c>
      <c r="L96" s="4" t="s">
        <v>21</v>
      </c>
      <c r="M96" s="3"/>
      <c r="N96" s="3"/>
      <c r="O96" s="3"/>
    </row>
    <row r="97" spans="1:15">
      <c r="A97" s="2" t="s">
        <v>180</v>
      </c>
      <c r="B97" s="4" t="s">
        <v>181</v>
      </c>
      <c r="C97" s="3" t="s">
        <v>196</v>
      </c>
      <c r="D97" s="3">
        <v>16</v>
      </c>
      <c r="E97" s="3">
        <v>78</v>
      </c>
      <c r="F97" s="3">
        <v>80</v>
      </c>
      <c r="G97" s="3" t="s">
        <v>202</v>
      </c>
      <c r="H97" s="3">
        <v>10</v>
      </c>
      <c r="I97" s="3">
        <v>8</v>
      </c>
      <c r="J97" s="3">
        <v>9</v>
      </c>
      <c r="K97" s="3" t="s">
        <v>149</v>
      </c>
      <c r="L97" s="4" t="s">
        <v>21</v>
      </c>
      <c r="M97" s="3"/>
      <c r="N97" s="3"/>
      <c r="O97" s="3"/>
    </row>
    <row r="98" spans="1:15">
      <c r="A98" s="2" t="s">
        <v>180</v>
      </c>
      <c r="B98" s="4" t="s">
        <v>181</v>
      </c>
      <c r="C98" s="3" t="s">
        <v>196</v>
      </c>
      <c r="D98" s="3">
        <v>17</v>
      </c>
      <c r="E98" s="3">
        <v>97</v>
      </c>
      <c r="F98" s="3">
        <v>68</v>
      </c>
      <c r="G98" s="3" t="s">
        <v>203</v>
      </c>
      <c r="H98" s="3">
        <v>10</v>
      </c>
      <c r="I98" s="3">
        <v>8</v>
      </c>
      <c r="J98" s="3">
        <v>9</v>
      </c>
      <c r="K98" s="3" t="s">
        <v>143</v>
      </c>
      <c r="L98" s="4" t="s">
        <v>21</v>
      </c>
      <c r="M98" s="3"/>
      <c r="N98" s="3"/>
      <c r="O98" s="3"/>
    </row>
    <row r="99" spans="1:15">
      <c r="A99" s="2" t="s">
        <v>180</v>
      </c>
      <c r="B99" s="4" t="s">
        <v>181</v>
      </c>
      <c r="C99" s="3" t="s">
        <v>196</v>
      </c>
      <c r="D99" s="3">
        <v>18</v>
      </c>
      <c r="E99" s="3">
        <v>98</v>
      </c>
      <c r="F99" s="3">
        <v>51</v>
      </c>
      <c r="G99" s="3" t="s">
        <v>204</v>
      </c>
      <c r="H99" s="3">
        <v>10</v>
      </c>
      <c r="I99" s="3">
        <v>8</v>
      </c>
      <c r="J99" s="3">
        <v>9</v>
      </c>
      <c r="K99" s="3" t="s">
        <v>91</v>
      </c>
      <c r="L99" s="4" t="s">
        <v>21</v>
      </c>
      <c r="M99" s="3"/>
      <c r="N99" s="3"/>
      <c r="O99" s="3"/>
    </row>
    <row r="100" spans="1:15">
      <c r="A100" s="2" t="s">
        <v>180</v>
      </c>
      <c r="B100" s="4" t="s">
        <v>181</v>
      </c>
      <c r="C100" s="3" t="s">
        <v>196</v>
      </c>
      <c r="D100" s="3">
        <v>19</v>
      </c>
      <c r="E100" s="3">
        <v>118</v>
      </c>
      <c r="F100" s="3">
        <v>96</v>
      </c>
      <c r="G100" s="3" t="s">
        <v>148</v>
      </c>
      <c r="H100" s="3">
        <v>10</v>
      </c>
      <c r="I100" s="3">
        <v>8</v>
      </c>
      <c r="J100" s="3">
        <v>9</v>
      </c>
      <c r="K100" s="3" t="s">
        <v>143</v>
      </c>
      <c r="L100" s="4" t="s">
        <v>21</v>
      </c>
      <c r="M100" s="3"/>
      <c r="N100" s="3"/>
      <c r="O100" s="3"/>
    </row>
    <row r="101" spans="1:15">
      <c r="A101" s="2" t="s">
        <v>180</v>
      </c>
      <c r="B101" s="4" t="s">
        <v>181</v>
      </c>
      <c r="C101" s="3" t="s">
        <v>196</v>
      </c>
      <c r="D101" s="3">
        <v>20</v>
      </c>
      <c r="E101" s="3">
        <v>112</v>
      </c>
      <c r="F101" s="3">
        <v>96</v>
      </c>
      <c r="G101" s="3" t="s">
        <v>205</v>
      </c>
      <c r="H101" s="3">
        <v>10</v>
      </c>
      <c r="I101" s="3">
        <v>8</v>
      </c>
      <c r="J101" s="3">
        <v>9</v>
      </c>
      <c r="K101" s="3" t="s">
        <v>133</v>
      </c>
      <c r="L101" s="4" t="s">
        <v>21</v>
      </c>
      <c r="M101" s="3"/>
      <c r="N101" s="3"/>
      <c r="O101" s="3"/>
    </row>
    <row r="102" spans="1:15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</sheetData>
  <phoneticPr fontId="3" type="noConversion"/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90F9-82DE-4833-89C4-662833FB2317}">
  <dimension ref="A1:U2"/>
  <sheetViews>
    <sheetView workbookViewId="0">
      <selection activeCell="T3" sqref="T3"/>
    </sheetView>
  </sheetViews>
  <sheetFormatPr defaultRowHeight="14.4"/>
  <cols>
    <col min="1" max="1" width="12.6640625" customWidth="1"/>
    <col min="2" max="2" width="7" customWidth="1"/>
    <col min="3" max="3" width="13.6640625" customWidth="1"/>
    <col min="4" max="4" width="14.88671875" customWidth="1"/>
    <col min="5" max="5" width="13.88671875" customWidth="1"/>
    <col min="6" max="6" width="13.21875" customWidth="1"/>
    <col min="7" max="7" width="11" customWidth="1"/>
    <col min="8" max="8" width="16.6640625" customWidth="1"/>
    <col min="9" max="9" width="14.5546875" customWidth="1"/>
    <col min="10" max="10" width="18.33203125" customWidth="1"/>
    <col min="11" max="11" width="15.33203125" customWidth="1"/>
    <col min="12" max="12" width="14.77734375" customWidth="1"/>
    <col min="13" max="13" width="12.5546875" customWidth="1"/>
    <col min="14" max="14" width="13.21875" customWidth="1"/>
    <col min="15" max="16" width="11.44140625" customWidth="1"/>
    <col min="17" max="17" width="14" customWidth="1"/>
    <col min="18" max="18" width="13.21875" customWidth="1"/>
    <col min="19" max="19" width="14.88671875" customWidth="1"/>
    <col min="20" max="20" width="12.6640625" customWidth="1"/>
    <col min="21" max="21" width="8.88671875" customWidth="1"/>
  </cols>
  <sheetData>
    <row r="1" spans="1:21">
      <c r="A1" s="12" t="s">
        <v>206</v>
      </c>
      <c r="B1" s="12" t="s">
        <v>1</v>
      </c>
      <c r="C1" s="12" t="s">
        <v>207</v>
      </c>
      <c r="D1" s="12" t="s">
        <v>208</v>
      </c>
      <c r="E1" s="12" t="s">
        <v>209</v>
      </c>
      <c r="F1" s="12" t="s">
        <v>210</v>
      </c>
      <c r="G1" s="12" t="s">
        <v>211</v>
      </c>
      <c r="H1" s="12" t="s">
        <v>212</v>
      </c>
      <c r="I1" s="12" t="s">
        <v>213</v>
      </c>
      <c r="J1" s="12" t="s">
        <v>214</v>
      </c>
      <c r="K1" s="12" t="s">
        <v>215</v>
      </c>
      <c r="L1" s="12" t="s">
        <v>216</v>
      </c>
      <c r="M1" s="12" t="s">
        <v>217</v>
      </c>
      <c r="N1" s="12" t="s">
        <v>218</v>
      </c>
      <c r="O1" s="12" t="s">
        <v>219</v>
      </c>
      <c r="P1" s="12" t="s">
        <v>220</v>
      </c>
      <c r="Q1" s="12" t="s">
        <v>221</v>
      </c>
      <c r="R1" s="12" t="s">
        <v>222</v>
      </c>
      <c r="S1" s="12" t="s">
        <v>223</v>
      </c>
      <c r="T1" s="12" t="s">
        <v>224</v>
      </c>
      <c r="U1" s="12" t="s">
        <v>225</v>
      </c>
    </row>
    <row r="2" spans="1:21">
      <c r="Q2" t="str">
        <f>IF(Table1[[#This Row],[HedgeFlag]]="~","Hedge",
 IF(Table1[[#This Row],[SphereFlag]]="~","Sphere",
 IF(Table1[[#This Row],[ConeFlag]]="~","Cone",
 IF(Table1[[#This Row],[CubeFlag]]="~","Cube","No volume"))))</f>
        <v>No volume</v>
      </c>
      <c r="R2" t="str">
        <f>IFERROR(10000/(Table1[[#This Row],[RowWidth_m]]*Table1[[#This Row],[InRowSpacing_m]]),"")</f>
        <v/>
      </c>
      <c r="S2" t="str">
        <f>IFERROR(Table1[[#This Row],[NutCount]]/Table1[[#This Row],[ShootCount]],"")</f>
        <v/>
      </c>
      <c r="T2" t="str">
        <f>IF(Table1[[#This Row],[VolumeType]]="Hedge",0.937*Table1[[#This Row],[TreeHeight_m]]*Table1[[#This Row],[TreeDepth_m]],IF(Table1[[#This Row],[VolumeType]]="Sphere",0.8*(4/3)*PI()*(Table1[[#This Row],[TreeDepth_m]]/2)^3,""))</f>
        <v/>
      </c>
      <c r="U2" t="str">
        <f>IF(AND(Table1[[#This Row],[ShootCount]]&gt;0,Table1[[#This Row],[NutCount]]&gt;=0,Table1[[#This Row],[NutYieldKgTree]]&gt;0,Table1[[#This Row],[TreeHeight_m]]&gt;0,Table1[[#This Row],[TreeDepth_m]]&gt;0),"Yes","No")</f>
        <v>No</v>
      </c>
    </row>
  </sheetData>
  <pageMargins left="0.7" right="0.7" top="0.75" bottom="0.75" header="0.3" footer="0.3"/>
  <pageSetup paperSize="256" orientation="portrait" horizontalDpi="203" verticalDpi="20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4876-E1FB-49BB-A37F-00779BE010DB}">
  <dimension ref="A1"/>
  <sheetViews>
    <sheetView tabSelected="1"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BA23-B2DB-4FDE-BBFB-DF5A3BAD5098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130ff4-e193-44f2-b376-5526ba8982a2" xsi:nil="true"/>
    <lcf76f155ced4ddcb4097134ff3c332f xmlns="7980053b-d9d3-46b9-a351-7042485fd01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57C804D34097418429C686A88D7028" ma:contentTypeVersion="16" ma:contentTypeDescription="Create a new document." ma:contentTypeScope="" ma:versionID="0ba7475266cec85a2fa25d26889ef90d">
  <xsd:schema xmlns:xsd="http://www.w3.org/2001/XMLSchema" xmlns:xs="http://www.w3.org/2001/XMLSchema" xmlns:p="http://schemas.microsoft.com/office/2006/metadata/properties" xmlns:ns2="7980053b-d9d3-46b9-a351-7042485fd015" xmlns:ns3="84130ff4-e193-44f2-b376-5526ba8982a2" targetNamespace="http://schemas.microsoft.com/office/2006/metadata/properties" ma:root="true" ma:fieldsID="1348177eb92350a23e744f38a0cc72a5" ns2:_="" ns3:_="">
    <xsd:import namespace="7980053b-d9d3-46b9-a351-7042485fd015"/>
    <xsd:import namespace="84130ff4-e193-44f2-b376-5526ba8982a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0053b-d9d3-46b9-a351-7042485fd01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3ff23bd-06fc-408b-a3e9-7b72b27a37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30ff4-e193-44f2-b376-5526ba8982a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a808a48-6d81-4bd6-bb74-8e975d2fca6e}" ma:internalName="TaxCatchAll" ma:showField="CatchAllData" ma:web="84130ff4-e193-44f2-b376-5526ba8982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F20354-CE1B-4F87-B2FA-E9C9849ED4A2}">
  <ds:schemaRefs>
    <ds:schemaRef ds:uri="http://schemas.microsoft.com/office/2006/documentManagement/types"/>
    <ds:schemaRef ds:uri="84130ff4-e193-44f2-b376-5526ba8982a2"/>
    <ds:schemaRef ds:uri="http://schemas.openxmlformats.org/package/2006/metadata/core-properties"/>
    <ds:schemaRef ds:uri="http://purl.org/dc/dcmitype/"/>
    <ds:schemaRef ds:uri="7980053b-d9d3-46b9-a351-7042485fd015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4ED2030-0F78-4ADB-BDB4-CFEAAB3D00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80053b-d9d3-46b9-a351-7042485fd015"/>
    <ds:schemaRef ds:uri="84130ff4-e193-44f2-b376-5526ba8982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CD970E-6C3E-49EC-9177-2A5845853A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CleanData</vt:lpstr>
      <vt:lpstr>Model</vt:lpstr>
      <vt:lpstr>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Hardus du Toit</dc:creator>
  <cp:keywords/>
  <dc:description/>
  <cp:lastModifiedBy>CW Smith</cp:lastModifiedBy>
  <cp:revision/>
  <dcterms:created xsi:type="dcterms:W3CDTF">2025-03-06T06:04:05Z</dcterms:created>
  <dcterms:modified xsi:type="dcterms:W3CDTF">2026-03-04T15:32:17Z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0x0101003957C804D34097418429C686A88D7028</vt:lpwstr>
  </property>
  <property fmtid="{D5CDD505-2E9C-101B-9397-08002B2CF9AE}" pid="3" name="MediaServiceImageTags">
    <vt:lpwstr/>
  </property>
</Properties>
</file>